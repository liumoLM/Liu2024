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mliu\OneDrive\文档\GitHub\Liu2024\"/>
    </mc:Choice>
  </mc:AlternateContent>
  <xr:revisionPtr revIDLastSave="0" documentId="8_{E9CB03E5-F93D-4956-8624-5DADC4DDFD30}" xr6:coauthVersionLast="47" xr6:coauthVersionMax="47" xr10:uidLastSave="{00000000-0000-0000-0000-000000000000}"/>
  <bookViews>
    <workbookView xWindow="-96" yWindow="-96" windowWidth="18912" windowHeight="11952" tabRatio="5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0" i="1" l="1"/>
  <c r="U48" i="1"/>
  <c r="T48" i="1"/>
  <c r="S48" i="1"/>
  <c r="R48" i="1"/>
  <c r="Q48" i="1"/>
  <c r="P48" i="1"/>
  <c r="U47" i="1"/>
  <c r="T47" i="1"/>
  <c r="S47" i="1"/>
  <c r="R47" i="1"/>
  <c r="Q47" i="1"/>
  <c r="P47" i="1"/>
  <c r="U46" i="1"/>
  <c r="T46" i="1"/>
  <c r="S46" i="1"/>
  <c r="R46" i="1"/>
  <c r="Q46" i="1"/>
  <c r="P46" i="1"/>
  <c r="U45" i="1"/>
  <c r="T45" i="1"/>
  <c r="S45" i="1"/>
  <c r="R45" i="1"/>
  <c r="Q45" i="1"/>
  <c r="P45" i="1"/>
  <c r="U44" i="1"/>
  <c r="T44" i="1"/>
  <c r="S44" i="1"/>
  <c r="R44" i="1"/>
  <c r="Q44" i="1"/>
  <c r="P44" i="1"/>
  <c r="U43" i="1"/>
  <c r="T43" i="1"/>
  <c r="S43" i="1"/>
  <c r="R43" i="1"/>
  <c r="Q43" i="1"/>
  <c r="P43" i="1"/>
  <c r="U42" i="1"/>
  <c r="T42" i="1"/>
  <c r="S42" i="1"/>
  <c r="R42" i="1"/>
  <c r="Q42" i="1"/>
  <c r="P42" i="1"/>
  <c r="U41" i="1"/>
  <c r="T41" i="1"/>
  <c r="S41" i="1"/>
  <c r="R41" i="1"/>
  <c r="Q41" i="1"/>
  <c r="P41" i="1"/>
  <c r="U40" i="1"/>
  <c r="T40" i="1"/>
  <c r="S40" i="1"/>
  <c r="R40" i="1"/>
  <c r="Q40" i="1"/>
  <c r="P40" i="1"/>
  <c r="U39" i="1"/>
  <c r="T39" i="1"/>
  <c r="S39" i="1"/>
  <c r="R39" i="1"/>
  <c r="Q39" i="1"/>
  <c r="P39" i="1"/>
  <c r="U38" i="1"/>
  <c r="T38" i="1"/>
  <c r="S38" i="1"/>
  <c r="R38" i="1"/>
  <c r="Q38" i="1"/>
  <c r="P38" i="1"/>
  <c r="U37" i="1"/>
  <c r="T37" i="1"/>
  <c r="S37" i="1"/>
  <c r="R37" i="1"/>
  <c r="Q37" i="1"/>
  <c r="P37" i="1"/>
  <c r="U36" i="1"/>
  <c r="T36" i="1"/>
  <c r="S36" i="1"/>
  <c r="R36" i="1"/>
  <c r="Q36" i="1"/>
  <c r="P36" i="1"/>
  <c r="U35" i="1"/>
  <c r="T35" i="1"/>
  <c r="S35" i="1"/>
  <c r="R35" i="1"/>
  <c r="Q35" i="1"/>
  <c r="P35" i="1"/>
  <c r="U34" i="1"/>
  <c r="T34" i="1"/>
  <c r="S34" i="1"/>
  <c r="R34" i="1"/>
  <c r="Q34" i="1"/>
  <c r="P34" i="1"/>
  <c r="U33" i="1"/>
  <c r="T33" i="1"/>
  <c r="S33" i="1"/>
  <c r="R33" i="1"/>
  <c r="Q33" i="1"/>
  <c r="P33" i="1"/>
  <c r="U32" i="1"/>
  <c r="T32" i="1"/>
  <c r="S32" i="1"/>
  <c r="R32" i="1"/>
  <c r="Q32" i="1"/>
  <c r="P32" i="1"/>
  <c r="U31" i="1"/>
  <c r="T31" i="1"/>
  <c r="S31" i="1"/>
  <c r="R31" i="1"/>
  <c r="Q31" i="1"/>
  <c r="P31" i="1"/>
  <c r="U30" i="1"/>
  <c r="T30" i="1"/>
  <c r="S30" i="1"/>
  <c r="R30" i="1"/>
  <c r="Q30" i="1"/>
  <c r="P30" i="1"/>
  <c r="U29" i="1"/>
  <c r="T29" i="1"/>
  <c r="S29" i="1"/>
  <c r="R29" i="1"/>
  <c r="Q29" i="1"/>
  <c r="P29" i="1"/>
  <c r="U28" i="1"/>
  <c r="T28" i="1"/>
  <c r="S28" i="1"/>
  <c r="R28" i="1"/>
  <c r="Q28" i="1"/>
  <c r="P28" i="1"/>
  <c r="U27" i="1"/>
  <c r="T27" i="1"/>
  <c r="S27" i="1"/>
  <c r="R27" i="1"/>
  <c r="Q27" i="1"/>
  <c r="P27" i="1"/>
  <c r="U26" i="1"/>
  <c r="T26" i="1"/>
  <c r="S26" i="1"/>
  <c r="R26" i="1"/>
  <c r="Q26" i="1"/>
  <c r="P26" i="1"/>
  <c r="U25" i="1"/>
  <c r="T25" i="1"/>
  <c r="S25" i="1"/>
  <c r="R25" i="1"/>
  <c r="Q25" i="1"/>
  <c r="P25" i="1"/>
  <c r="U24" i="1"/>
  <c r="T24" i="1"/>
  <c r="S24" i="1"/>
  <c r="R24" i="1"/>
  <c r="Q24" i="1"/>
  <c r="P24" i="1"/>
  <c r="U23" i="1"/>
  <c r="T23" i="1"/>
  <c r="S23" i="1"/>
  <c r="R23" i="1"/>
  <c r="Q23" i="1"/>
  <c r="P23" i="1"/>
  <c r="U22" i="1"/>
  <c r="T22" i="1"/>
  <c r="S22" i="1"/>
  <c r="R22" i="1"/>
  <c r="Q22" i="1"/>
  <c r="P22" i="1"/>
  <c r="U21" i="1"/>
  <c r="T21" i="1"/>
  <c r="S21" i="1"/>
  <c r="R21" i="1"/>
  <c r="Q21" i="1"/>
  <c r="P21" i="1"/>
  <c r="U20" i="1"/>
  <c r="T20" i="1"/>
  <c r="S20" i="1"/>
  <c r="R20" i="1"/>
  <c r="Q20" i="1"/>
  <c r="P20" i="1"/>
  <c r="U19" i="1"/>
  <c r="T19" i="1"/>
  <c r="S19" i="1"/>
  <c r="R19" i="1"/>
  <c r="Q19" i="1"/>
  <c r="P19" i="1"/>
  <c r="U18" i="1"/>
  <c r="T18" i="1"/>
  <c r="S18" i="1"/>
  <c r="R18" i="1"/>
  <c r="Q18" i="1"/>
  <c r="P18" i="1"/>
  <c r="U17" i="1"/>
  <c r="T17" i="1"/>
  <c r="S17" i="1"/>
  <c r="R17" i="1"/>
  <c r="Q17" i="1"/>
  <c r="P17" i="1"/>
  <c r="U16" i="1"/>
  <c r="T16" i="1"/>
  <c r="S16" i="1"/>
  <c r="R16" i="1"/>
  <c r="Q16" i="1"/>
  <c r="P16" i="1"/>
  <c r="U15" i="1"/>
  <c r="T15" i="1"/>
  <c r="S15" i="1"/>
  <c r="R15" i="1"/>
  <c r="Q15" i="1"/>
  <c r="P15" i="1"/>
  <c r="U14" i="1"/>
  <c r="T14" i="1"/>
  <c r="S14" i="1"/>
  <c r="R14" i="1"/>
  <c r="Q14" i="1"/>
  <c r="P14" i="1"/>
  <c r="U13" i="1"/>
  <c r="T13" i="1"/>
  <c r="S13" i="1"/>
  <c r="R13" i="1"/>
  <c r="Q13" i="1"/>
  <c r="P13" i="1"/>
  <c r="U12" i="1"/>
  <c r="T12" i="1"/>
  <c r="S12" i="1"/>
  <c r="R12" i="1"/>
  <c r="Q12" i="1"/>
  <c r="P12" i="1"/>
  <c r="U11" i="1"/>
  <c r="T11" i="1"/>
  <c r="S11" i="1"/>
  <c r="R11" i="1"/>
  <c r="Q11" i="1"/>
  <c r="P11" i="1"/>
  <c r="U10" i="1"/>
  <c r="T10" i="1"/>
  <c r="S10" i="1"/>
  <c r="R10" i="1"/>
  <c r="Q10" i="1"/>
  <c r="P10" i="1"/>
  <c r="U9" i="1"/>
  <c r="T9" i="1"/>
  <c r="S9" i="1"/>
  <c r="R9" i="1"/>
  <c r="Q9" i="1"/>
  <c r="P9" i="1"/>
  <c r="U8" i="1"/>
  <c r="T8" i="1"/>
  <c r="S8" i="1"/>
  <c r="R8" i="1"/>
  <c r="Q8" i="1"/>
  <c r="P8" i="1"/>
  <c r="U7" i="1"/>
  <c r="T7" i="1"/>
  <c r="S7" i="1"/>
  <c r="R7" i="1"/>
  <c r="Q7" i="1"/>
  <c r="P7" i="1"/>
  <c r="U6" i="1"/>
  <c r="T6" i="1"/>
  <c r="S6" i="1"/>
  <c r="R6" i="1"/>
  <c r="Q6" i="1"/>
  <c r="P6" i="1"/>
  <c r="U5" i="1"/>
  <c r="T5" i="1"/>
  <c r="S5" i="1"/>
  <c r="R5" i="1"/>
  <c r="Q5" i="1"/>
  <c r="P5" i="1"/>
  <c r="U4" i="1"/>
  <c r="T4" i="1"/>
  <c r="S4" i="1"/>
  <c r="R4" i="1"/>
  <c r="Q4" i="1"/>
  <c r="P4" i="1"/>
  <c r="U3" i="1"/>
  <c r="T3" i="1"/>
  <c r="S3" i="1"/>
  <c r="R3" i="1"/>
  <c r="Q3" i="1"/>
  <c r="P3" i="1"/>
  <c r="U2" i="1"/>
  <c r="T2" i="1"/>
  <c r="S2" i="1"/>
  <c r="R2" i="1"/>
  <c r="Q2" i="1"/>
  <c r="P2" i="1"/>
</calcChain>
</file>

<file path=xl/sharedStrings.xml><?xml version="1.0" encoding="utf-8"?>
<sst xmlns="http://schemas.openxmlformats.org/spreadsheetml/2006/main" count="260" uniqueCount="221">
  <si>
    <t>signature id</t>
  </si>
  <si>
    <t>sig89 from 476 v 89 cos</t>
  </si>
  <si>
    <t>exemplar id</t>
  </si>
  <si>
    <t>sig89 v exemplar cos</t>
  </si>
  <si>
    <t>best match koh</t>
  </si>
  <si>
    <t>cos v koh</t>
  </si>
  <si>
    <t>sig476 v exemplar cos</t>
  </si>
  <si>
    <t>type83 sig id</t>
  </si>
  <si>
    <t>sig83 v exemplar cos</t>
  </si>
  <si>
    <t>best match cosmic</t>
  </si>
  <si>
    <t>cosine v cosmic</t>
  </si>
  <si>
    <t>best match jin</t>
  </si>
  <si>
    <t>cosine v jin</t>
  </si>
  <si>
    <t>sig83 from 476 v 83 cos</t>
  </si>
  <si>
    <t>is polyT removed</t>
  </si>
  <si>
    <t>is insdel15 16</t>
  </si>
  <si>
    <t>has 476 signature</t>
  </si>
  <si>
    <t>has 83 signature</t>
  </si>
  <si>
    <t>has mapped 476 sig</t>
  </si>
  <si>
    <t>has 83 mapped signature</t>
  </si>
  <si>
    <t>InsDel16</t>
  </si>
  <si>
    <t>WES::TCGA-13-0889-01A-01W-0420-08</t>
  </si>
  <si>
    <t>C_ID16</t>
  </si>
  <si>
    <t>ID16</t>
  </si>
  <si>
    <t>InsDel11</t>
  </si>
  <si>
    <t>Pancreas::SP77956</t>
  </si>
  <si>
    <t>C_ID11</t>
  </si>
  <si>
    <t>ID11</t>
  </si>
  <si>
    <t>jinID11a</t>
  </si>
  <si>
    <t>InsDel17</t>
  </si>
  <si>
    <t>Other::CPCT02250003T</t>
  </si>
  <si>
    <t>C_ID17</t>
  </si>
  <si>
    <t>ID17</t>
  </si>
  <si>
    <t>InsDel_J</t>
  </si>
  <si>
    <t>Colon::DRUP01230004T</t>
  </si>
  <si>
    <t>ID_J*</t>
  </si>
  <si>
    <t>InsDel_M</t>
  </si>
  <si>
    <t>Prostate::SP112777</t>
  </si>
  <si>
    <t>ID_M</t>
  </si>
  <si>
    <t>InsDel15</t>
  </si>
  <si>
    <t>WES::TCGA-EW-A2FV-01A-11D-A17D-09</t>
  </si>
  <si>
    <t>C_ID15</t>
  </si>
  <si>
    <t>ID15</t>
  </si>
  <si>
    <t>InsDel1d</t>
  </si>
  <si>
    <t>Bone.SoftTissue::CPCT02020428T</t>
  </si>
  <si>
    <t>C_ID1</t>
  </si>
  <si>
    <t>ID1</t>
  </si>
  <si>
    <t>jinID1</t>
  </si>
  <si>
    <t>InsDel_I</t>
  </si>
  <si>
    <t>CNS::SP107439</t>
  </si>
  <si>
    <t>ID_I</t>
  </si>
  <si>
    <t>jinID25</t>
  </si>
  <si>
    <t>InsDel_N</t>
  </si>
  <si>
    <t>Stomach::CPCT02030347T</t>
  </si>
  <si>
    <t>ID_N*</t>
  </si>
  <si>
    <t>InsDel6</t>
  </si>
  <si>
    <t>Ovary::SP62616</t>
  </si>
  <si>
    <t>InD6</t>
  </si>
  <si>
    <t>C_ID6</t>
  </si>
  <si>
    <t>ID6</t>
  </si>
  <si>
    <t>jinID6</t>
  </si>
  <si>
    <t>InsDel_D</t>
  </si>
  <si>
    <t>Colon::CPCT02340014T</t>
  </si>
  <si>
    <t>InD12</t>
  </si>
  <si>
    <t>ID_D</t>
  </si>
  <si>
    <t>ID14</t>
  </si>
  <si>
    <t>jinID14</t>
  </si>
  <si>
    <t>InsDel3b</t>
  </si>
  <si>
    <t>Other::CPCT02020815T</t>
  </si>
  <si>
    <t>InD3b</t>
  </si>
  <si>
    <t>C_ID3</t>
  </si>
  <si>
    <t>ID3</t>
  </si>
  <si>
    <t>jinID3</t>
  </si>
  <si>
    <t>InsDel19b</t>
  </si>
  <si>
    <t>Skin::CPCT02340081T</t>
  </si>
  <si>
    <t>C_ID19</t>
  </si>
  <si>
    <t>ID19</t>
  </si>
  <si>
    <t>InsDel7</t>
  </si>
  <si>
    <t>Uterus::SP94741</t>
  </si>
  <si>
    <t>InD7</t>
  </si>
  <si>
    <t>C_ID7*</t>
  </si>
  <si>
    <t>ID7</t>
  </si>
  <si>
    <t>InsDel18</t>
  </si>
  <si>
    <t>Head::CPCT02070053T</t>
  </si>
  <si>
    <t>InD18</t>
  </si>
  <si>
    <t>C_ID18</t>
  </si>
  <si>
    <t>ID18</t>
  </si>
  <si>
    <t>InsDel2a</t>
  </si>
  <si>
    <t>Esophagus::CPCT02010569T</t>
  </si>
  <si>
    <t>InD2b</t>
  </si>
  <si>
    <t>C_ID2</t>
  </si>
  <si>
    <t>ID2</t>
  </si>
  <si>
    <t>jinID2</t>
  </si>
  <si>
    <t>InsDel5a</t>
  </si>
  <si>
    <t>Kidney::SP39298</t>
  </si>
  <si>
    <t>InD29</t>
  </si>
  <si>
    <t>C_ID5</t>
  </si>
  <si>
    <t>ID5</t>
  </si>
  <si>
    <t>jinID5</t>
  </si>
  <si>
    <t>InsDel13</t>
  </si>
  <si>
    <t>Skin::SP124439</t>
  </si>
  <si>
    <t>InD13</t>
  </si>
  <si>
    <t>C_ID13</t>
  </si>
  <si>
    <t>ID13</t>
  </si>
  <si>
    <t>jinID13</t>
  </si>
  <si>
    <t>InsDel1b</t>
  </si>
  <si>
    <t>Colon::SP21400</t>
  </si>
  <si>
    <t>InD15</t>
  </si>
  <si>
    <t>InsDel_F</t>
  </si>
  <si>
    <t>Head::DRUP01030028T</t>
  </si>
  <si>
    <t>ID_F</t>
  </si>
  <si>
    <t>ID4</t>
  </si>
  <si>
    <t>jinID4</t>
  </si>
  <si>
    <t>InsDel_B</t>
  </si>
  <si>
    <t>Liver::CPCT02020413T</t>
  </si>
  <si>
    <t>ID_B</t>
  </si>
  <si>
    <t>InsDel_K_alpha</t>
  </si>
  <si>
    <t>Prostate::SP112817</t>
  </si>
  <si>
    <t>ID_K</t>
  </si>
  <si>
    <t>jinID26</t>
  </si>
  <si>
    <t>InsDel_P</t>
  </si>
  <si>
    <t>Lymphoid::SP59448</t>
  </si>
  <si>
    <t>InD21</t>
  </si>
  <si>
    <t>ID_P</t>
  </si>
  <si>
    <t>InsDel4</t>
  </si>
  <si>
    <t>CNS::CPCT02100089T</t>
  </si>
  <si>
    <t>InD4a</t>
  </si>
  <si>
    <t>C_ID4</t>
  </si>
  <si>
    <t>InsDel12</t>
  </si>
  <si>
    <t>Prostate::SP112985</t>
  </si>
  <si>
    <t>C_ID12</t>
  </si>
  <si>
    <t>ID12</t>
  </si>
  <si>
    <t>jinID12</t>
  </si>
  <si>
    <t>InsDel1a</t>
  </si>
  <si>
    <t>Biliary::DRUP01010095T</t>
  </si>
  <si>
    <t>InD1</t>
  </si>
  <si>
    <t>InsDel2c</t>
  </si>
  <si>
    <t>Lymphoid::CPCT02120032T</t>
  </si>
  <si>
    <t>InsDel5b</t>
  </si>
  <si>
    <t>Liver::SP112290</t>
  </si>
  <si>
    <t>InsDel14</t>
  </si>
  <si>
    <t>Colon::CPCT02040258T</t>
  </si>
  <si>
    <t>C_ID14</t>
  </si>
  <si>
    <t>InsDel_C</t>
  </si>
  <si>
    <t>Breast::CPCT02010772T</t>
  </si>
  <si>
    <t>ID_C</t>
  </si>
  <si>
    <t>InsDel_E</t>
  </si>
  <si>
    <t>Uterus::DRUP01340014T</t>
  </si>
  <si>
    <t>ID_E</t>
  </si>
  <si>
    <t>InsDel23</t>
  </si>
  <si>
    <t>Kidney::SP102957</t>
  </si>
  <si>
    <t>C_ID23</t>
  </si>
  <si>
    <t>ID23</t>
  </si>
  <si>
    <t>InsDel8</t>
  </si>
  <si>
    <t>Breast::SP116365</t>
  </si>
  <si>
    <t>InD8</t>
  </si>
  <si>
    <t>C_ID8</t>
  </si>
  <si>
    <t>ID8</t>
  </si>
  <si>
    <t>jinID8</t>
  </si>
  <si>
    <t>InsDel19a</t>
  </si>
  <si>
    <t>Bone.SoftTissue::CPCT02010408T</t>
  </si>
  <si>
    <t>InsDel3a</t>
  </si>
  <si>
    <t>InD3a</t>
  </si>
  <si>
    <t>InsDel_O</t>
  </si>
  <si>
    <t>CNS::CPCT02100101T</t>
  </si>
  <si>
    <t>ID_O*</t>
  </si>
  <si>
    <t>InsDel2b</t>
  </si>
  <si>
    <t>Colon::SP96118</t>
  </si>
  <si>
    <t>InsDel_A_beta</t>
  </si>
  <si>
    <t>Breast::SP2293</t>
  </si>
  <si>
    <t>InD9a</t>
  </si>
  <si>
    <t>ID_A</t>
  </si>
  <si>
    <t>jinID9</t>
  </si>
  <si>
    <t>InsDel_G</t>
  </si>
  <si>
    <t>Other::DRUP01030015T</t>
  </si>
  <si>
    <t>ID_G</t>
  </si>
  <si>
    <t>jinID11b</t>
  </si>
  <si>
    <t>InsDel9</t>
  </si>
  <si>
    <t>Pancreas::SP102617</t>
  </si>
  <si>
    <t>InD9b</t>
  </si>
  <si>
    <t>C_ID9</t>
  </si>
  <si>
    <t>ID9</t>
  </si>
  <si>
    <t>InsDel1c</t>
  </si>
  <si>
    <t>Liver::SP49229</t>
  </si>
  <si>
    <t>InD11</t>
  </si>
  <si>
    <t>InsDel10</t>
  </si>
  <si>
    <t>Other::SP109957</t>
  </si>
  <si>
    <t>C_ID10*</t>
  </si>
  <si>
    <t>InsDel_H</t>
  </si>
  <si>
    <t>Bone.SoftTissue::CPCT02010648T</t>
  </si>
  <si>
    <t>ID_H</t>
  </si>
  <si>
    <t>InsDel_K_beta</t>
  </si>
  <si>
    <t>Colon::SP17905</t>
  </si>
  <si>
    <t>InsDel_L</t>
  </si>
  <si>
    <t>Pancreas::SP70106</t>
  </si>
  <si>
    <t>InD26</t>
  </si>
  <si>
    <t>ID_L</t>
  </si>
  <si>
    <t>InsDel_A_alpha</t>
  </si>
  <si>
    <t>Other::CPCT02330041T</t>
  </si>
  <si>
    <t>InsDel19c</t>
  </si>
  <si>
    <t>* indicates that in the supporting tumor's spectrum, insertions of a single T in long poly-T contexts were set to 0 before calculating cosine similarity to the 83-type signature.</t>
  </si>
  <si>
    <t>Skin::CPCT02060041T</t>
    <phoneticPr fontId="3" type="noConversion"/>
  </si>
  <si>
    <t>Extra ID1 and ID2 peaks</t>
    <phoneticPr fontId="3" type="noConversion"/>
  </si>
  <si>
    <t>Lung::SP58101</t>
    <phoneticPr fontId="3" type="noConversion"/>
  </si>
  <si>
    <t>Extra ID2 peak</t>
    <phoneticPr fontId="3" type="noConversion"/>
  </si>
  <si>
    <t>Extra 1bp-C ins and 2bp insertions (contributed by another MSI sig ID_O)</t>
    <phoneticPr fontId="3" type="noConversion"/>
  </si>
  <si>
    <t>Extra ID1 and ID2 peaks, and some other peaks. But ID_C is visually obvious</t>
    <phoneticPr fontId="3" type="noConversion"/>
  </si>
  <si>
    <t>Extra ID1 peaks</t>
    <phoneticPr fontId="3" type="noConversion"/>
  </si>
  <si>
    <t>Key spectral differences causing low cosine similarity</t>
    <phoneticPr fontId="3" type="noConversion"/>
  </si>
  <si>
    <t>89 and 476-type: extra InsDel1 peaks; 83-type: Extra ID1 and ID2 peaks</t>
    <phoneticPr fontId="3" type="noConversion"/>
  </si>
  <si>
    <t>Suggest to change to Bladder::CPCT02050436T</t>
    <phoneticPr fontId="3" type="noConversion"/>
  </si>
  <si>
    <t>476-type: have some other irrelevant peaks; 83-type:Extra ID1 and ID2 peaks</t>
    <phoneticPr fontId="3" type="noConversion"/>
  </si>
  <si>
    <t>the examplar contains InsDel6 peaks (&gt;5bp deletions in repeats and MH), and some ID1 peak</t>
    <phoneticPr fontId="3" type="noConversion"/>
  </si>
  <si>
    <t>83,89 and 476: Extra ID1, ID2 and ID_E(de-novo 1bpC ins)</t>
    <phoneticPr fontId="3" type="noConversion"/>
  </si>
  <si>
    <t>the 476-type spectra looks sparse because of the low mutation counts</t>
    <phoneticPr fontId="3" type="noConversion"/>
  </si>
  <si>
    <t>Mixed with other signatures (ID1, ID9, ID19). But ID_H is visually obvious</t>
    <phoneticPr fontId="3" type="noConversion"/>
  </si>
  <si>
    <t>INS:1:C:4 peak was missed in the spectra, but visually obvious</t>
    <phoneticPr fontId="3" type="noConversion"/>
  </si>
  <si>
    <t>Extra ID13 peaks in the spectrum</t>
    <phoneticPr fontId="3" type="noConversion"/>
  </si>
  <si>
    <t>Mixed with other signatures (ID4,ID8,ID9). But InsDel10 is visually obvious in the &gt;1bp insertion part</t>
    <phoneticPr fontId="3" type="noConversion"/>
  </si>
  <si>
    <t>InsDel19a does not perfect match with C_ID19, but the predominant peaks are consistent</t>
    <phoneticPr fontId="3" type="noConversion"/>
  </si>
  <si>
    <t>InsDel5b does not perfect match with C_ID5, but it is age associated, and a flat signature similar to C_ID5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</si>
</sst>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9"/>
      <name val="宋体"/>
      <family val="3"/>
      <charset val="13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76" fontId="2" fillId="0" borderId="0" xfId="0" applyNumberFormat="1" applyFont="1" applyAlignment="1">
      <alignment horizontal="center" wrapText="1"/>
    </xf>
    <xf numFmtId="176" fontId="5" fillId="0" borderId="0" xfId="0" applyNumberFormat="1" applyFont="1" applyAlignment="1">
      <alignment horizontal="center" wrapText="1"/>
    </xf>
    <xf numFmtId="176" fontId="2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176" fontId="5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17" sqref="A17"/>
      <selection pane="bottomRight" activeCell="J1" sqref="J1"/>
    </sheetView>
  </sheetViews>
  <sheetFormatPr defaultColWidth="10.5234375" defaultRowHeight="14.4" x14ac:dyDescent="0.55000000000000004"/>
  <cols>
    <col min="1" max="1" width="16.68359375" customWidth="1"/>
    <col min="2" max="2" width="8.68359375" customWidth="1"/>
    <col min="3" max="3" width="35.68359375" customWidth="1"/>
    <col min="4" max="4" width="8.68359375" customWidth="1"/>
    <col min="5" max="5" width="7.68359375" customWidth="1"/>
    <col min="6" max="7" width="8.68359375" customWidth="1"/>
    <col min="8" max="8" width="9.68359375" customWidth="1"/>
    <col min="9" max="9" width="8.68359375" customWidth="1"/>
    <col min="10" max="10" width="49.41796875" customWidth="1"/>
    <col min="11" max="11" width="6.68359375" customWidth="1"/>
    <col min="12" max="12" width="8.68359375" customWidth="1"/>
    <col min="13" max="13" width="10.68359375" customWidth="1"/>
    <col min="14" max="15" width="8.68359375" customWidth="1"/>
    <col min="16" max="18" width="7.68359375" customWidth="1"/>
    <col min="19" max="19" width="6.68359375" customWidth="1"/>
    <col min="20" max="21" width="7.68359375" customWidth="1"/>
  </cols>
  <sheetData>
    <row r="1" spans="1:21" ht="57.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208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55000000000000004">
      <c r="A2" s="2" t="s">
        <v>20</v>
      </c>
      <c r="B2" s="3">
        <v>1</v>
      </c>
      <c r="C2" s="2" t="s">
        <v>21</v>
      </c>
      <c r="D2" s="3">
        <v>1</v>
      </c>
      <c r="E2" s="2"/>
      <c r="F2" s="3"/>
      <c r="G2" s="3">
        <v>1</v>
      </c>
      <c r="H2" s="2" t="s">
        <v>22</v>
      </c>
      <c r="I2" s="3">
        <v>1</v>
      </c>
      <c r="J2" s="9"/>
      <c r="K2" s="2" t="s">
        <v>23</v>
      </c>
      <c r="L2" s="3">
        <v>0.94431118528518998</v>
      </c>
      <c r="M2" s="2"/>
      <c r="N2" s="3"/>
      <c r="O2" s="3">
        <v>0.67273397843869898</v>
      </c>
      <c r="P2" s="2" t="b">
        <f>FALSE()</f>
        <v>0</v>
      </c>
      <c r="Q2" s="2" t="b">
        <f>TRUE()</f>
        <v>1</v>
      </c>
      <c r="R2" s="2" t="b">
        <f>TRUE()</f>
        <v>1</v>
      </c>
      <c r="S2" s="2" t="b">
        <f>TRUE()</f>
        <v>1</v>
      </c>
      <c r="T2" s="2" t="b">
        <f>TRUE()</f>
        <v>1</v>
      </c>
      <c r="U2" s="2" t="b">
        <f>TRUE()</f>
        <v>1</v>
      </c>
    </row>
    <row r="3" spans="1:21" x14ac:dyDescent="0.55000000000000004">
      <c r="A3" s="2" t="s">
        <v>24</v>
      </c>
      <c r="B3" s="3">
        <v>0.99999806314144402</v>
      </c>
      <c r="C3" s="2" t="s">
        <v>25</v>
      </c>
      <c r="D3" s="3">
        <v>0.99999710125278596</v>
      </c>
      <c r="E3" s="2"/>
      <c r="F3" s="3"/>
      <c r="G3" s="3">
        <v>0.99999876952544098</v>
      </c>
      <c r="H3" s="2" t="s">
        <v>26</v>
      </c>
      <c r="I3" s="3">
        <v>0.99977060476991497</v>
      </c>
      <c r="J3" s="9"/>
      <c r="K3" s="2" t="s">
        <v>27</v>
      </c>
      <c r="L3" s="3">
        <v>0.96490499896083204</v>
      </c>
      <c r="M3" s="2" t="s">
        <v>28</v>
      </c>
      <c r="N3" s="3">
        <v>0.998558317949646</v>
      </c>
      <c r="O3" s="3">
        <v>0.99982303593698096</v>
      </c>
      <c r="P3" s="2" t="b">
        <f>FALSE()</f>
        <v>0</v>
      </c>
      <c r="Q3" s="2" t="b">
        <f>FALSE()</f>
        <v>0</v>
      </c>
      <c r="R3" s="2" t="b">
        <f>TRUE()</f>
        <v>1</v>
      </c>
      <c r="S3" s="2" t="b">
        <f>TRUE()</f>
        <v>1</v>
      </c>
      <c r="T3" s="2" t="b">
        <f>TRUE()</f>
        <v>1</v>
      </c>
      <c r="U3" s="2" t="b">
        <f>TRUE()</f>
        <v>1</v>
      </c>
    </row>
    <row r="4" spans="1:21" x14ac:dyDescent="0.55000000000000004">
      <c r="A4" s="2" t="s">
        <v>29</v>
      </c>
      <c r="B4" s="3">
        <v>0.99902891340685995</v>
      </c>
      <c r="C4" s="2" t="s">
        <v>30</v>
      </c>
      <c r="D4" s="3">
        <v>0.99909861203733397</v>
      </c>
      <c r="E4" s="2"/>
      <c r="F4" s="3"/>
      <c r="G4" s="3">
        <v>0.99965124034004404</v>
      </c>
      <c r="H4" s="2" t="s">
        <v>31</v>
      </c>
      <c r="I4" s="3">
        <v>0.99805539615364502</v>
      </c>
      <c r="J4" s="9"/>
      <c r="K4" s="2" t="s">
        <v>32</v>
      </c>
      <c r="L4" s="3">
        <v>0.91321185107300096</v>
      </c>
      <c r="M4" s="2"/>
      <c r="N4" s="3"/>
      <c r="O4" s="3">
        <v>0.99435705666534402</v>
      </c>
      <c r="P4" s="2" t="b">
        <f>FALSE()</f>
        <v>0</v>
      </c>
      <c r="Q4" s="2" t="b">
        <f>FALSE()</f>
        <v>0</v>
      </c>
      <c r="R4" s="2" t="b">
        <f>TRUE()</f>
        <v>1</v>
      </c>
      <c r="S4" s="2" t="b">
        <f>TRUE()</f>
        <v>1</v>
      </c>
      <c r="T4" s="2" t="b">
        <f>TRUE()</f>
        <v>1</v>
      </c>
      <c r="U4" s="2" t="b">
        <f>TRUE()</f>
        <v>1</v>
      </c>
    </row>
    <row r="5" spans="1:21" x14ac:dyDescent="0.55000000000000004">
      <c r="A5" s="2" t="s">
        <v>33</v>
      </c>
      <c r="B5" s="3">
        <v>0.99915778915234399</v>
      </c>
      <c r="C5" s="2" t="s">
        <v>34</v>
      </c>
      <c r="D5" s="3">
        <v>0.99858559382314604</v>
      </c>
      <c r="E5" s="2"/>
      <c r="F5" s="3"/>
      <c r="G5" s="3">
        <v>0.99315489860303896</v>
      </c>
      <c r="H5" s="2" t="s">
        <v>35</v>
      </c>
      <c r="I5" s="3">
        <v>0.94125895460984499</v>
      </c>
      <c r="J5" s="9"/>
      <c r="K5" s="2"/>
      <c r="L5" s="3"/>
      <c r="M5" s="2"/>
      <c r="N5" s="3"/>
      <c r="O5" s="3">
        <v>5.73439955343392E-2</v>
      </c>
      <c r="P5" s="2" t="b">
        <f>TRUE()</f>
        <v>1</v>
      </c>
      <c r="Q5" s="2" t="b">
        <f>FALSE()</f>
        <v>0</v>
      </c>
      <c r="R5" s="2" t="b">
        <f>TRUE()</f>
        <v>1</v>
      </c>
      <c r="S5" s="2" t="b">
        <f>TRUE()</f>
        <v>1</v>
      </c>
      <c r="T5" s="2" t="b">
        <f>TRUE()</f>
        <v>1</v>
      </c>
      <c r="U5" s="2" t="b">
        <f>TRUE()</f>
        <v>1</v>
      </c>
    </row>
    <row r="6" spans="1:21" x14ac:dyDescent="0.55000000000000004">
      <c r="A6" s="2" t="s">
        <v>36</v>
      </c>
      <c r="B6" s="3">
        <v>0.99226899419298897</v>
      </c>
      <c r="C6" s="2" t="s">
        <v>37</v>
      </c>
      <c r="D6" s="3">
        <v>0.99790446163641999</v>
      </c>
      <c r="E6" s="2"/>
      <c r="F6" s="3"/>
      <c r="G6" s="3">
        <v>0.99447947056695796</v>
      </c>
      <c r="H6" s="2" t="s">
        <v>38</v>
      </c>
      <c r="I6" s="3">
        <v>0.50421190356963697</v>
      </c>
      <c r="J6" s="10" t="s">
        <v>204</v>
      </c>
      <c r="K6" s="2"/>
      <c r="L6" s="3"/>
      <c r="M6" s="2"/>
      <c r="N6" s="3"/>
      <c r="O6" s="3">
        <v>0.58716721513927905</v>
      </c>
      <c r="P6" s="2" t="b">
        <f>FALSE()</f>
        <v>0</v>
      </c>
      <c r="Q6" s="2" t="b">
        <f>FALSE()</f>
        <v>0</v>
      </c>
      <c r="R6" s="2" t="b">
        <f>TRUE()</f>
        <v>1</v>
      </c>
      <c r="S6" s="2" t="b">
        <f>TRUE()</f>
        <v>1</v>
      </c>
      <c r="T6" s="2" t="b">
        <f>TRUE()</f>
        <v>1</v>
      </c>
      <c r="U6" s="2" t="b">
        <f>TRUE()</f>
        <v>1</v>
      </c>
    </row>
    <row r="7" spans="1:21" x14ac:dyDescent="0.55000000000000004">
      <c r="A7" s="2" t="s">
        <v>39</v>
      </c>
      <c r="B7" s="3">
        <v>0.99997779656472396</v>
      </c>
      <c r="C7" s="2" t="s">
        <v>40</v>
      </c>
      <c r="D7" s="3">
        <v>0.99715255425424898</v>
      </c>
      <c r="E7" s="2"/>
      <c r="F7" s="3"/>
      <c r="G7" s="3">
        <v>0.99475925583599301</v>
      </c>
      <c r="H7" s="2" t="s">
        <v>41</v>
      </c>
      <c r="I7" s="3">
        <v>0.99811613478243999</v>
      </c>
      <c r="J7" s="9"/>
      <c r="K7" s="2" t="s">
        <v>42</v>
      </c>
      <c r="L7" s="3">
        <v>0.99262438000289599</v>
      </c>
      <c r="M7" s="2"/>
      <c r="N7" s="3"/>
      <c r="O7" s="3">
        <v>0.99998928219240601</v>
      </c>
      <c r="P7" s="2" t="b">
        <f>FALSE()</f>
        <v>0</v>
      </c>
      <c r="Q7" s="2" t="b">
        <f>TRUE()</f>
        <v>1</v>
      </c>
      <c r="R7" s="2" t="b">
        <f>TRUE()</f>
        <v>1</v>
      </c>
      <c r="S7" s="2" t="b">
        <f>TRUE()</f>
        <v>1</v>
      </c>
      <c r="T7" s="2" t="b">
        <f>TRUE()</f>
        <v>1</v>
      </c>
      <c r="U7" s="2" t="b">
        <f>TRUE()</f>
        <v>1</v>
      </c>
    </row>
    <row r="8" spans="1:21" x14ac:dyDescent="0.55000000000000004">
      <c r="A8" s="2" t="s">
        <v>43</v>
      </c>
      <c r="B8" s="3">
        <v>0.997816677302374</v>
      </c>
      <c r="C8" s="2" t="s">
        <v>44</v>
      </c>
      <c r="D8" s="3">
        <v>0.99675737544784004</v>
      </c>
      <c r="E8" s="2"/>
      <c r="F8" s="3"/>
      <c r="G8" s="3">
        <v>0.99459422075213799</v>
      </c>
      <c r="H8" s="4" t="s">
        <v>45</v>
      </c>
      <c r="I8" s="5">
        <v>0.99606877275794004</v>
      </c>
      <c r="J8" s="11"/>
      <c r="K8" s="4" t="s">
        <v>46</v>
      </c>
      <c r="L8" s="5">
        <v>0.99899722507161304</v>
      </c>
      <c r="M8" s="4" t="s">
        <v>47</v>
      </c>
      <c r="N8" s="5">
        <v>0.99857761888833096</v>
      </c>
      <c r="O8" s="3">
        <v>0.99765059315915405</v>
      </c>
      <c r="P8" s="2" t="b">
        <f>FALSE()</f>
        <v>0</v>
      </c>
      <c r="Q8" s="2" t="b">
        <f>FALSE()</f>
        <v>0</v>
      </c>
      <c r="R8" s="2" t="b">
        <f>TRUE()</f>
        <v>1</v>
      </c>
      <c r="S8" s="2" t="b">
        <f>TRUE()</f>
        <v>1</v>
      </c>
      <c r="T8" s="2" t="b">
        <f>TRUE()</f>
        <v>1</v>
      </c>
      <c r="U8" s="2" t="b">
        <f>TRUE()</f>
        <v>1</v>
      </c>
    </row>
    <row r="9" spans="1:21" x14ac:dyDescent="0.55000000000000004">
      <c r="A9" s="2" t="s">
        <v>48</v>
      </c>
      <c r="B9" s="3">
        <v>0.99846558402683905</v>
      </c>
      <c r="C9" s="2" t="s">
        <v>49</v>
      </c>
      <c r="D9" s="3">
        <v>0.99525446762192604</v>
      </c>
      <c r="E9" s="2"/>
      <c r="F9" s="3"/>
      <c r="G9" s="3">
        <v>0.99772851933361095</v>
      </c>
      <c r="H9" s="2" t="s">
        <v>50</v>
      </c>
      <c r="I9" s="3">
        <v>0.95977575971183104</v>
      </c>
      <c r="J9" s="9"/>
      <c r="K9" s="2"/>
      <c r="L9" s="3"/>
      <c r="M9" s="2" t="s">
        <v>51</v>
      </c>
      <c r="N9" s="3">
        <v>0.92895263911183701</v>
      </c>
      <c r="O9" s="3">
        <v>0.98380738995357897</v>
      </c>
      <c r="P9" s="2" t="b">
        <f>FALSE()</f>
        <v>0</v>
      </c>
      <c r="Q9" s="2" t="b">
        <f>FALSE()</f>
        <v>0</v>
      </c>
      <c r="R9" s="2" t="b">
        <f>TRUE()</f>
        <v>1</v>
      </c>
      <c r="S9" s="2" t="b">
        <f>TRUE()</f>
        <v>1</v>
      </c>
      <c r="T9" s="2" t="b">
        <f>TRUE()</f>
        <v>1</v>
      </c>
      <c r="U9" s="2" t="b">
        <f>TRUE()</f>
        <v>1</v>
      </c>
    </row>
    <row r="10" spans="1:21" x14ac:dyDescent="0.55000000000000004">
      <c r="A10" s="2" t="s">
        <v>52</v>
      </c>
      <c r="B10" s="3">
        <v>0.99744502135887403</v>
      </c>
      <c r="C10" s="2" t="s">
        <v>53</v>
      </c>
      <c r="D10" s="3">
        <v>0.99448324056077897</v>
      </c>
      <c r="E10" s="2"/>
      <c r="F10" s="3"/>
      <c r="G10" s="3">
        <v>0.97665200447794498</v>
      </c>
      <c r="H10" s="2" t="s">
        <v>54</v>
      </c>
      <c r="I10" s="3">
        <v>0.92372504933245003</v>
      </c>
      <c r="J10" s="9"/>
      <c r="K10" s="2"/>
      <c r="L10" s="3"/>
      <c r="M10" s="2"/>
      <c r="N10" s="3"/>
      <c r="O10" s="3">
        <v>4.7546284333833601E-2</v>
      </c>
      <c r="P10" s="2" t="b">
        <f>TRUE()</f>
        <v>1</v>
      </c>
      <c r="Q10" s="2" t="b">
        <f>FALSE()</f>
        <v>0</v>
      </c>
      <c r="R10" s="2" t="b">
        <f>TRUE()</f>
        <v>1</v>
      </c>
      <c r="S10" s="2" t="b">
        <f>TRUE()</f>
        <v>1</v>
      </c>
      <c r="T10" s="2" t="b">
        <f>TRUE()</f>
        <v>1</v>
      </c>
      <c r="U10" s="2" t="b">
        <f>TRUE()</f>
        <v>1</v>
      </c>
    </row>
    <row r="11" spans="1:21" x14ac:dyDescent="0.55000000000000004">
      <c r="A11" s="2" t="s">
        <v>55</v>
      </c>
      <c r="B11" s="3">
        <v>0.99963490460364302</v>
      </c>
      <c r="C11" s="2" t="s">
        <v>56</v>
      </c>
      <c r="D11" s="3">
        <v>0.99373586466089903</v>
      </c>
      <c r="E11" s="2" t="s">
        <v>57</v>
      </c>
      <c r="F11" s="3">
        <v>0.97470129202961797</v>
      </c>
      <c r="G11" s="3">
        <v>0.99265306807763598</v>
      </c>
      <c r="H11" s="2" t="s">
        <v>58</v>
      </c>
      <c r="I11" s="3">
        <v>0.98425083967389004</v>
      </c>
      <c r="J11" s="9"/>
      <c r="K11" s="2" t="s">
        <v>59</v>
      </c>
      <c r="L11" s="3">
        <v>0.97689702362824704</v>
      </c>
      <c r="M11" s="2" t="s">
        <v>60</v>
      </c>
      <c r="N11" s="3">
        <v>0.94411406275238696</v>
      </c>
      <c r="O11" s="3">
        <v>0.99914943094390696</v>
      </c>
      <c r="P11" s="2" t="b">
        <f>FALSE()</f>
        <v>0</v>
      </c>
      <c r="Q11" s="2" t="b">
        <f>FALSE()</f>
        <v>0</v>
      </c>
      <c r="R11" s="2" t="b">
        <f>TRUE()</f>
        <v>1</v>
      </c>
      <c r="S11" s="2" t="b">
        <f>TRUE()</f>
        <v>1</v>
      </c>
      <c r="T11" s="2" t="b">
        <f>TRUE()</f>
        <v>1</v>
      </c>
      <c r="U11" s="2" t="b">
        <f>TRUE()</f>
        <v>1</v>
      </c>
    </row>
    <row r="12" spans="1:21" x14ac:dyDescent="0.55000000000000004">
      <c r="A12" s="2" t="s">
        <v>61</v>
      </c>
      <c r="B12" s="3">
        <v>0.99848075454631702</v>
      </c>
      <c r="C12" s="2" t="s">
        <v>62</v>
      </c>
      <c r="D12" s="3">
        <v>0.99242261119907604</v>
      </c>
      <c r="E12" s="2" t="s">
        <v>63</v>
      </c>
      <c r="F12" s="3">
        <v>0.98029645639804697</v>
      </c>
      <c r="G12" s="3">
        <v>0.99559249838149</v>
      </c>
      <c r="H12" s="2" t="s">
        <v>64</v>
      </c>
      <c r="I12" s="3">
        <v>0.98977274653027703</v>
      </c>
      <c r="J12" s="9"/>
      <c r="K12" s="2" t="s">
        <v>65</v>
      </c>
      <c r="L12" s="3">
        <v>0.92707445927478105</v>
      </c>
      <c r="M12" s="2" t="s">
        <v>66</v>
      </c>
      <c r="N12" s="3">
        <v>0.953409382692888</v>
      </c>
      <c r="O12" s="3">
        <v>0.98781745464669002</v>
      </c>
      <c r="P12" s="2" t="b">
        <f>FALSE()</f>
        <v>0</v>
      </c>
      <c r="Q12" s="2" t="b">
        <f>FALSE()</f>
        <v>0</v>
      </c>
      <c r="R12" s="2" t="b">
        <f>TRUE()</f>
        <v>1</v>
      </c>
      <c r="S12" s="2" t="b">
        <f>TRUE()</f>
        <v>1</v>
      </c>
      <c r="T12" s="2" t="b">
        <f>TRUE()</f>
        <v>1</v>
      </c>
      <c r="U12" s="2" t="b">
        <f>TRUE()</f>
        <v>1</v>
      </c>
    </row>
    <row r="13" spans="1:21" x14ac:dyDescent="0.55000000000000004">
      <c r="A13" s="2" t="s">
        <v>67</v>
      </c>
      <c r="B13" s="3">
        <v>0.99886526497977002</v>
      </c>
      <c r="C13" s="2" t="s">
        <v>68</v>
      </c>
      <c r="D13" s="3">
        <v>0.99228464978658104</v>
      </c>
      <c r="E13" s="2" t="s">
        <v>69</v>
      </c>
      <c r="F13" s="3">
        <v>0.953522795429812</v>
      </c>
      <c r="G13" s="3">
        <v>0.99042608263762399</v>
      </c>
      <c r="H13" s="4" t="s">
        <v>70</v>
      </c>
      <c r="I13" s="5">
        <v>0.98850423294874701</v>
      </c>
      <c r="J13" s="11"/>
      <c r="K13" s="4" t="s">
        <v>71</v>
      </c>
      <c r="L13" s="5">
        <v>0.99267322886806197</v>
      </c>
      <c r="M13" s="4" t="s">
        <v>72</v>
      </c>
      <c r="N13" s="5">
        <v>0.95259175672931096</v>
      </c>
      <c r="O13" s="3">
        <v>0.99846340579082704</v>
      </c>
      <c r="P13" s="2" t="b">
        <f>FALSE()</f>
        <v>0</v>
      </c>
      <c r="Q13" s="2" t="b">
        <f>FALSE()</f>
        <v>0</v>
      </c>
      <c r="R13" s="2" t="b">
        <f>TRUE()</f>
        <v>1</v>
      </c>
      <c r="S13" s="2" t="b">
        <f>TRUE()</f>
        <v>1</v>
      </c>
      <c r="T13" s="2" t="b">
        <f>TRUE()</f>
        <v>1</v>
      </c>
      <c r="U13" s="2" t="b">
        <f>TRUE()</f>
        <v>1</v>
      </c>
    </row>
    <row r="14" spans="1:21" x14ac:dyDescent="0.55000000000000004">
      <c r="A14" s="2" t="s">
        <v>73</v>
      </c>
      <c r="B14" s="3">
        <v>0.99895235041919805</v>
      </c>
      <c r="C14" s="2" t="s">
        <v>74</v>
      </c>
      <c r="D14" s="3">
        <v>0.99171174719966004</v>
      </c>
      <c r="E14" s="2"/>
      <c r="F14" s="3"/>
      <c r="G14" s="3">
        <v>0.98212021999048704</v>
      </c>
      <c r="H14" s="4" t="s">
        <v>75</v>
      </c>
      <c r="I14" s="5">
        <v>0.95772281360567002</v>
      </c>
      <c r="J14" s="11"/>
      <c r="K14" s="4" t="s">
        <v>76</v>
      </c>
      <c r="L14" s="5">
        <v>0.93472360371768604</v>
      </c>
      <c r="M14" s="4"/>
      <c r="N14" s="5"/>
      <c r="O14" s="3">
        <v>0.94902099587913902</v>
      </c>
      <c r="P14" s="2" t="b">
        <f>FALSE()</f>
        <v>0</v>
      </c>
      <c r="Q14" s="2" t="b">
        <f>FALSE()</f>
        <v>0</v>
      </c>
      <c r="R14" s="2" t="b">
        <f>TRUE()</f>
        <v>1</v>
      </c>
      <c r="S14" s="2" t="b">
        <f>TRUE()</f>
        <v>1</v>
      </c>
      <c r="T14" s="2" t="b">
        <f>TRUE()</f>
        <v>1</v>
      </c>
      <c r="U14" s="2" t="b">
        <f>TRUE()</f>
        <v>1</v>
      </c>
    </row>
    <row r="15" spans="1:21" x14ac:dyDescent="0.55000000000000004">
      <c r="A15" s="2" t="s">
        <v>77</v>
      </c>
      <c r="B15" s="3">
        <v>0.97999541056176898</v>
      </c>
      <c r="C15" s="2" t="s">
        <v>78</v>
      </c>
      <c r="D15" s="3">
        <v>0.99110917981851199</v>
      </c>
      <c r="E15" s="2" t="s">
        <v>79</v>
      </c>
      <c r="F15" s="3">
        <v>0.95230485720352398</v>
      </c>
      <c r="G15" s="3">
        <v>0.97916789285491301</v>
      </c>
      <c r="H15" s="2" t="s">
        <v>80</v>
      </c>
      <c r="I15" s="3">
        <v>0.90990109162068999</v>
      </c>
      <c r="J15" s="12" t="s">
        <v>205</v>
      </c>
      <c r="K15" s="2" t="s">
        <v>81</v>
      </c>
      <c r="L15" s="3">
        <v>0.93815090595175499</v>
      </c>
      <c r="M15" s="2"/>
      <c r="N15" s="3"/>
      <c r="O15" s="3">
        <v>0.15004520478060901</v>
      </c>
      <c r="P15" s="2" t="b">
        <f>TRUE()</f>
        <v>1</v>
      </c>
      <c r="Q15" s="2" t="b">
        <f>FALSE()</f>
        <v>0</v>
      </c>
      <c r="R15" s="2" t="b">
        <f>TRUE()</f>
        <v>1</v>
      </c>
      <c r="S15" s="2" t="b">
        <f>TRUE()</f>
        <v>1</v>
      </c>
      <c r="T15" s="2" t="b">
        <f>TRUE()</f>
        <v>1</v>
      </c>
      <c r="U15" s="2" t="b">
        <f>TRUE()</f>
        <v>1</v>
      </c>
    </row>
    <row r="16" spans="1:21" x14ac:dyDescent="0.55000000000000004">
      <c r="A16" s="2" t="s">
        <v>82</v>
      </c>
      <c r="B16" s="3">
        <v>0.99722406340754799</v>
      </c>
      <c r="C16" s="2" t="s">
        <v>83</v>
      </c>
      <c r="D16" s="3">
        <v>0.99082601121230895</v>
      </c>
      <c r="E16" s="2" t="s">
        <v>84</v>
      </c>
      <c r="F16" s="3">
        <v>0.99786655495348797</v>
      </c>
      <c r="G16" s="3">
        <v>0.98327762840539501</v>
      </c>
      <c r="H16" s="2" t="s">
        <v>85</v>
      </c>
      <c r="I16" s="3">
        <v>0.92663881537863102</v>
      </c>
      <c r="J16" s="9"/>
      <c r="K16" s="2" t="s">
        <v>86</v>
      </c>
      <c r="L16" s="3">
        <v>0.97486268837430001</v>
      </c>
      <c r="M16" s="2"/>
      <c r="N16" s="3"/>
      <c r="O16" s="3">
        <v>0.96649009308725398</v>
      </c>
      <c r="P16" s="2" t="b">
        <f>FALSE()</f>
        <v>0</v>
      </c>
      <c r="Q16" s="2" t="b">
        <f>FALSE()</f>
        <v>0</v>
      </c>
      <c r="R16" s="2" t="b">
        <f>TRUE()</f>
        <v>1</v>
      </c>
      <c r="S16" s="2" t="b">
        <f>TRUE()</f>
        <v>1</v>
      </c>
      <c r="T16" s="2" t="b">
        <f>TRUE()</f>
        <v>1</v>
      </c>
      <c r="U16" s="2" t="b">
        <f>TRUE()</f>
        <v>1</v>
      </c>
    </row>
    <row r="17" spans="1:21" x14ac:dyDescent="0.55000000000000004">
      <c r="A17" s="2" t="s">
        <v>87</v>
      </c>
      <c r="B17" s="3">
        <v>0.98050173404709395</v>
      </c>
      <c r="C17" s="2" t="s">
        <v>88</v>
      </c>
      <c r="D17" s="3">
        <v>0.990263031835387</v>
      </c>
      <c r="E17" s="2" t="s">
        <v>89</v>
      </c>
      <c r="F17" s="3">
        <v>0.90568753355342602</v>
      </c>
      <c r="G17" s="3">
        <v>0.96794992030131599</v>
      </c>
      <c r="H17" s="4" t="s">
        <v>90</v>
      </c>
      <c r="I17" s="5">
        <v>0.89613873251583198</v>
      </c>
      <c r="J17" s="12" t="s">
        <v>207</v>
      </c>
      <c r="K17" s="4" t="s">
        <v>91</v>
      </c>
      <c r="L17" s="5">
        <v>0.99732827610987496</v>
      </c>
      <c r="M17" s="4" t="s">
        <v>92</v>
      </c>
      <c r="N17" s="5">
        <v>0.99891021900633503</v>
      </c>
      <c r="O17" s="3">
        <v>0.98104396569483099</v>
      </c>
      <c r="P17" s="2" t="b">
        <f>FALSE()</f>
        <v>0</v>
      </c>
      <c r="Q17" s="2" t="b">
        <f>FALSE()</f>
        <v>0</v>
      </c>
      <c r="R17" s="2" t="b">
        <f>TRUE()</f>
        <v>1</v>
      </c>
      <c r="S17" s="2" t="b">
        <f>TRUE()</f>
        <v>1</v>
      </c>
      <c r="T17" s="2" t="b">
        <f>TRUE()</f>
        <v>1</v>
      </c>
      <c r="U17" s="2" t="b">
        <f>TRUE()</f>
        <v>1</v>
      </c>
    </row>
    <row r="18" spans="1:21" x14ac:dyDescent="0.55000000000000004">
      <c r="A18" s="2" t="s">
        <v>93</v>
      </c>
      <c r="B18" s="3">
        <v>0.999815401910504</v>
      </c>
      <c r="C18" s="2" t="s">
        <v>94</v>
      </c>
      <c r="D18" s="3">
        <v>0.98938234325262298</v>
      </c>
      <c r="E18" s="2" t="s">
        <v>95</v>
      </c>
      <c r="F18" s="3">
        <v>0.93588695782952103</v>
      </c>
      <c r="G18" s="3">
        <v>0.96289387004504501</v>
      </c>
      <c r="H18" s="4" t="s">
        <v>96</v>
      </c>
      <c r="I18" s="5">
        <v>0.98766318418090004</v>
      </c>
      <c r="J18" s="11"/>
      <c r="K18" s="4" t="s">
        <v>97</v>
      </c>
      <c r="L18" s="5">
        <v>0.92647665783899302</v>
      </c>
      <c r="M18" s="4" t="s">
        <v>98</v>
      </c>
      <c r="N18" s="5">
        <v>0.91791428921256302</v>
      </c>
      <c r="O18" s="3">
        <v>0.99832684470837296</v>
      </c>
      <c r="P18" s="2" t="b">
        <f>FALSE()</f>
        <v>0</v>
      </c>
      <c r="Q18" s="2" t="b">
        <f>FALSE()</f>
        <v>0</v>
      </c>
      <c r="R18" s="2" t="b">
        <f>TRUE()</f>
        <v>1</v>
      </c>
      <c r="S18" s="2" t="b">
        <f>TRUE()</f>
        <v>1</v>
      </c>
      <c r="T18" s="2" t="b">
        <f>TRUE()</f>
        <v>1</v>
      </c>
      <c r="U18" s="2" t="b">
        <f>TRUE()</f>
        <v>1</v>
      </c>
    </row>
    <row r="19" spans="1:21" x14ac:dyDescent="0.55000000000000004">
      <c r="A19" s="2" t="s">
        <v>99</v>
      </c>
      <c r="B19" s="3">
        <v>0.99791876054928697</v>
      </c>
      <c r="C19" s="2" t="s">
        <v>100</v>
      </c>
      <c r="D19" s="3">
        <v>0.98752593595356897</v>
      </c>
      <c r="E19" s="2" t="s">
        <v>101</v>
      </c>
      <c r="F19" s="3">
        <v>0.98989655845458002</v>
      </c>
      <c r="G19" s="3">
        <v>0.98484713039142502</v>
      </c>
      <c r="H19" s="2" t="s">
        <v>102</v>
      </c>
      <c r="I19" s="3">
        <v>0.98051164153438597</v>
      </c>
      <c r="J19" s="9"/>
      <c r="K19" s="2" t="s">
        <v>103</v>
      </c>
      <c r="L19" s="3">
        <v>0.98374962469223903</v>
      </c>
      <c r="M19" s="2" t="s">
        <v>104</v>
      </c>
      <c r="N19" s="3">
        <v>0.98374962455145398</v>
      </c>
      <c r="O19" s="3">
        <v>0.99354876657350999</v>
      </c>
      <c r="P19" s="2" t="b">
        <f>FALSE()</f>
        <v>0</v>
      </c>
      <c r="Q19" s="2" t="b">
        <f>FALSE()</f>
        <v>0</v>
      </c>
      <c r="R19" s="2" t="b">
        <f>TRUE()</f>
        <v>1</v>
      </c>
      <c r="S19" s="2" t="b">
        <f>TRUE()</f>
        <v>1</v>
      </c>
      <c r="T19" s="2" t="b">
        <f>TRUE()</f>
        <v>1</v>
      </c>
      <c r="U19" s="2" t="b">
        <f>TRUE()</f>
        <v>1</v>
      </c>
    </row>
    <row r="20" spans="1:21" x14ac:dyDescent="0.55000000000000004">
      <c r="A20" s="2" t="s">
        <v>105</v>
      </c>
      <c r="B20" s="3">
        <v>0.995824348751852</v>
      </c>
      <c r="C20" s="2" t="s">
        <v>106</v>
      </c>
      <c r="D20" s="3">
        <v>0.98718480132465203</v>
      </c>
      <c r="E20" s="2" t="s">
        <v>107</v>
      </c>
      <c r="F20" s="3">
        <v>0.96129386645829096</v>
      </c>
      <c r="G20" s="3">
        <v>0.97116954624892704</v>
      </c>
      <c r="H20" s="4" t="s">
        <v>45</v>
      </c>
      <c r="I20" s="5">
        <v>0.96139017857074704</v>
      </c>
      <c r="J20" s="11"/>
      <c r="K20" s="4" t="s">
        <v>46</v>
      </c>
      <c r="L20" s="5">
        <v>0.99899722507161304</v>
      </c>
      <c r="M20" s="4" t="s">
        <v>47</v>
      </c>
      <c r="N20" s="5">
        <v>0.99857761888833096</v>
      </c>
      <c r="O20" s="3">
        <v>0.96149591539719503</v>
      </c>
      <c r="P20" s="2" t="b">
        <f>FALSE()</f>
        <v>0</v>
      </c>
      <c r="Q20" s="2" t="b">
        <f>FALSE()</f>
        <v>0</v>
      </c>
      <c r="R20" s="2" t="b">
        <f>TRUE()</f>
        <v>1</v>
      </c>
      <c r="S20" s="2" t="b">
        <f>TRUE()</f>
        <v>1</v>
      </c>
      <c r="T20" s="2" t="b">
        <f>TRUE()</f>
        <v>1</v>
      </c>
      <c r="U20" s="2" t="b">
        <f>TRUE()</f>
        <v>1</v>
      </c>
    </row>
    <row r="21" spans="1:21" x14ac:dyDescent="0.55000000000000004">
      <c r="A21" s="2" t="s">
        <v>108</v>
      </c>
      <c r="B21" s="3">
        <v>0.99893216682334496</v>
      </c>
      <c r="C21" s="2" t="s">
        <v>109</v>
      </c>
      <c r="D21" s="3">
        <v>0.98681051338878301</v>
      </c>
      <c r="E21" s="2"/>
      <c r="F21" s="3"/>
      <c r="G21" s="3">
        <v>0.98657052576420601</v>
      </c>
      <c r="H21" s="2" t="s">
        <v>110</v>
      </c>
      <c r="I21" s="3">
        <v>0.93608920181079502</v>
      </c>
      <c r="J21" s="9"/>
      <c r="K21" s="2" t="s">
        <v>111</v>
      </c>
      <c r="L21" s="3">
        <v>0.92844180716358504</v>
      </c>
      <c r="M21" s="2" t="s">
        <v>112</v>
      </c>
      <c r="N21" s="3">
        <v>0.98685239205563902</v>
      </c>
      <c r="O21" s="3">
        <v>0.99522232080345696</v>
      </c>
      <c r="P21" s="2" t="b">
        <f>FALSE()</f>
        <v>0</v>
      </c>
      <c r="Q21" s="2" t="b">
        <f>FALSE()</f>
        <v>0</v>
      </c>
      <c r="R21" s="2" t="b">
        <f>TRUE()</f>
        <v>1</v>
      </c>
      <c r="S21" s="2" t="b">
        <f>TRUE()</f>
        <v>1</v>
      </c>
      <c r="T21" s="2" t="b">
        <f>TRUE()</f>
        <v>1</v>
      </c>
      <c r="U21" s="2" t="b">
        <f>TRUE()</f>
        <v>1</v>
      </c>
    </row>
    <row r="22" spans="1:21" x14ac:dyDescent="0.55000000000000004">
      <c r="A22" s="2" t="s">
        <v>113</v>
      </c>
      <c r="B22" s="3">
        <v>0.99970381126679198</v>
      </c>
      <c r="C22" s="2" t="s">
        <v>114</v>
      </c>
      <c r="D22" s="3">
        <v>0.98555378084300904</v>
      </c>
      <c r="E22" s="2"/>
      <c r="F22" s="3"/>
      <c r="G22" s="3">
        <v>0.97199260169208102</v>
      </c>
      <c r="H22" s="2" t="s">
        <v>115</v>
      </c>
      <c r="I22" s="3">
        <v>0.97190512448282396</v>
      </c>
      <c r="J22" s="9"/>
      <c r="K22" s="2"/>
      <c r="L22" s="3"/>
      <c r="M22" s="2"/>
      <c r="N22" s="3"/>
      <c r="O22" s="3">
        <v>0.99665835952651005</v>
      </c>
      <c r="P22" s="2" t="b">
        <f>FALSE()</f>
        <v>0</v>
      </c>
      <c r="Q22" s="2" t="b">
        <f>FALSE()</f>
        <v>0</v>
      </c>
      <c r="R22" s="2" t="b">
        <f>TRUE()</f>
        <v>1</v>
      </c>
      <c r="S22" s="2" t="b">
        <f>TRUE()</f>
        <v>1</v>
      </c>
      <c r="T22" s="2" t="b">
        <f>TRUE()</f>
        <v>1</v>
      </c>
      <c r="U22" s="2" t="b">
        <f>TRUE()</f>
        <v>1</v>
      </c>
    </row>
    <row r="23" spans="1:21" x14ac:dyDescent="0.55000000000000004">
      <c r="A23" s="2" t="s">
        <v>116</v>
      </c>
      <c r="B23" s="3">
        <v>0.996471867558548</v>
      </c>
      <c r="C23" s="2" t="s">
        <v>117</v>
      </c>
      <c r="D23" s="3">
        <v>0.98469508290895802</v>
      </c>
      <c r="E23" s="2"/>
      <c r="F23" s="3"/>
      <c r="G23" s="3">
        <v>0.99377366489789898</v>
      </c>
      <c r="H23" s="4" t="s">
        <v>118</v>
      </c>
      <c r="I23" s="5">
        <v>0.55963229942705905</v>
      </c>
      <c r="J23" s="12" t="s">
        <v>202</v>
      </c>
      <c r="K23" s="4"/>
      <c r="L23" s="5"/>
      <c r="M23" s="4" t="s">
        <v>119</v>
      </c>
      <c r="N23" s="5">
        <v>0.99181922037815495</v>
      </c>
      <c r="O23" s="3">
        <v>0.55785270179772195</v>
      </c>
      <c r="P23" s="2" t="b">
        <f>FALSE()</f>
        <v>0</v>
      </c>
      <c r="Q23" s="2" t="b">
        <f>FALSE()</f>
        <v>0</v>
      </c>
      <c r="R23" s="2" t="b">
        <f>TRUE()</f>
        <v>1</v>
      </c>
      <c r="S23" s="2" t="b">
        <f>TRUE()</f>
        <v>1</v>
      </c>
      <c r="T23" s="2" t="b">
        <f>TRUE()</f>
        <v>1</v>
      </c>
      <c r="U23" s="2" t="b">
        <f>TRUE()</f>
        <v>1</v>
      </c>
    </row>
    <row r="24" spans="1:21" x14ac:dyDescent="0.55000000000000004">
      <c r="A24" s="2" t="s">
        <v>120</v>
      </c>
      <c r="B24" s="3">
        <v>0.99331354618030598</v>
      </c>
      <c r="C24" s="2" t="s">
        <v>121</v>
      </c>
      <c r="D24" s="3">
        <v>0.98367530402019498</v>
      </c>
      <c r="E24" s="2" t="s">
        <v>122</v>
      </c>
      <c r="F24" s="3">
        <v>0.90929216806743096</v>
      </c>
      <c r="G24" s="3">
        <v>0.96303698548245398</v>
      </c>
      <c r="H24" s="2" t="s">
        <v>123</v>
      </c>
      <c r="I24" s="3">
        <v>0.99847515057666703</v>
      </c>
      <c r="J24" s="9"/>
      <c r="K24" s="2"/>
      <c r="L24" s="3"/>
      <c r="M24" s="2"/>
      <c r="N24" s="3"/>
      <c r="O24" s="3">
        <v>0.98665462270312398</v>
      </c>
      <c r="P24" s="2" t="b">
        <f>FALSE()</f>
        <v>0</v>
      </c>
      <c r="Q24" s="2" t="b">
        <f>FALSE()</f>
        <v>0</v>
      </c>
      <c r="R24" s="2" t="b">
        <f>TRUE()</f>
        <v>1</v>
      </c>
      <c r="S24" s="2" t="b">
        <f>TRUE()</f>
        <v>1</v>
      </c>
      <c r="T24" s="2" t="b">
        <f>TRUE()</f>
        <v>1</v>
      </c>
      <c r="U24" s="2" t="b">
        <f>TRUE()</f>
        <v>1</v>
      </c>
    </row>
    <row r="25" spans="1:21" x14ac:dyDescent="0.55000000000000004">
      <c r="A25" s="2" t="s">
        <v>124</v>
      </c>
      <c r="B25" s="3"/>
      <c r="C25" s="2" t="s">
        <v>125</v>
      </c>
      <c r="D25" s="3">
        <v>0.98216201730806796</v>
      </c>
      <c r="E25" s="2" t="s">
        <v>126</v>
      </c>
      <c r="F25" s="3">
        <v>0.96666281163248602</v>
      </c>
      <c r="G25" s="3">
        <v>0.95992538789954795</v>
      </c>
      <c r="H25" s="2" t="s">
        <v>127</v>
      </c>
      <c r="I25" s="3">
        <v>0.82259780656967396</v>
      </c>
      <c r="J25" s="10" t="s">
        <v>204</v>
      </c>
      <c r="K25" s="2" t="s">
        <v>111</v>
      </c>
      <c r="L25" s="3">
        <v>0.90607005292128895</v>
      </c>
      <c r="M25" s="2"/>
      <c r="N25" s="3"/>
      <c r="O25" s="3"/>
      <c r="P25" s="2" t="b">
        <f>FALSE()</f>
        <v>0</v>
      </c>
      <c r="Q25" s="2" t="b">
        <f>FALSE()</f>
        <v>0</v>
      </c>
      <c r="R25" s="2" t="b">
        <f>TRUE()</f>
        <v>1</v>
      </c>
      <c r="S25" s="2" t="b">
        <f>TRUE()</f>
        <v>1</v>
      </c>
      <c r="T25" s="2" t="b">
        <f>FALSE()</f>
        <v>0</v>
      </c>
      <c r="U25" s="2" t="b">
        <f>FALSE()</f>
        <v>0</v>
      </c>
    </row>
    <row r="26" spans="1:21" x14ac:dyDescent="0.55000000000000004">
      <c r="A26" s="2" t="s">
        <v>128</v>
      </c>
      <c r="B26" s="3">
        <v>0.99171696432773404</v>
      </c>
      <c r="C26" s="2" t="s">
        <v>129</v>
      </c>
      <c r="D26" s="3">
        <v>0.98191524654922402</v>
      </c>
      <c r="E26" s="2"/>
      <c r="F26" s="3"/>
      <c r="G26" s="3">
        <v>0.97303502352419102</v>
      </c>
      <c r="H26" s="2" t="s">
        <v>130</v>
      </c>
      <c r="I26" s="3">
        <v>0.95786740310032603</v>
      </c>
      <c r="J26" s="9"/>
      <c r="K26" s="2" t="s">
        <v>131</v>
      </c>
      <c r="L26" s="3">
        <v>0.94503684234876495</v>
      </c>
      <c r="M26" s="2" t="s">
        <v>132</v>
      </c>
      <c r="N26" s="3">
        <v>0.95360399151027297</v>
      </c>
      <c r="O26" s="3">
        <v>0.21029029374986299</v>
      </c>
      <c r="P26" s="2" t="b">
        <f>FALSE()</f>
        <v>0</v>
      </c>
      <c r="Q26" s="2" t="b">
        <f>FALSE()</f>
        <v>0</v>
      </c>
      <c r="R26" s="2" t="b">
        <f>TRUE()</f>
        <v>1</v>
      </c>
      <c r="S26" s="2" t="b">
        <f>TRUE()</f>
        <v>1</v>
      </c>
      <c r="T26" s="2" t="b">
        <f>TRUE()</f>
        <v>1</v>
      </c>
      <c r="U26" s="2" t="b">
        <f>TRUE()</f>
        <v>1</v>
      </c>
    </row>
    <row r="27" spans="1:21" x14ac:dyDescent="0.55000000000000004">
      <c r="A27" s="2" t="s">
        <v>133</v>
      </c>
      <c r="B27" s="3">
        <v>0.99273020094014497</v>
      </c>
      <c r="C27" s="2" t="s">
        <v>134</v>
      </c>
      <c r="D27" s="3">
        <v>0.98024723198180497</v>
      </c>
      <c r="E27" s="2" t="s">
        <v>135</v>
      </c>
      <c r="F27" s="3">
        <v>0.98252306659015398</v>
      </c>
      <c r="G27" s="3">
        <v>0.9596639524824</v>
      </c>
      <c r="H27" s="4" t="s">
        <v>45</v>
      </c>
      <c r="I27" s="5">
        <v>0.99841824566275805</v>
      </c>
      <c r="J27" s="11"/>
      <c r="K27" s="4" t="s">
        <v>46</v>
      </c>
      <c r="L27" s="5">
        <v>0.99899722507161304</v>
      </c>
      <c r="M27" s="4" t="s">
        <v>47</v>
      </c>
      <c r="N27" s="5">
        <v>0.99857761888833096</v>
      </c>
      <c r="O27" s="3">
        <v>0.99774854501939803</v>
      </c>
      <c r="P27" s="2" t="b">
        <f>FALSE()</f>
        <v>0</v>
      </c>
      <c r="Q27" s="2" t="b">
        <f>FALSE()</f>
        <v>0</v>
      </c>
      <c r="R27" s="2" t="b">
        <f>TRUE()</f>
        <v>1</v>
      </c>
      <c r="S27" s="2" t="b">
        <f>TRUE()</f>
        <v>1</v>
      </c>
      <c r="T27" s="2" t="b">
        <f>TRUE()</f>
        <v>1</v>
      </c>
      <c r="U27" s="2" t="b">
        <f>TRUE()</f>
        <v>1</v>
      </c>
    </row>
    <row r="28" spans="1:21" x14ac:dyDescent="0.55000000000000004">
      <c r="A28" s="2" t="s">
        <v>136</v>
      </c>
      <c r="B28" s="3">
        <v>0.98309854720252299</v>
      </c>
      <c r="C28" s="2" t="s">
        <v>137</v>
      </c>
      <c r="D28" s="3">
        <v>0.97943808204221305</v>
      </c>
      <c r="E28" s="2"/>
      <c r="F28" s="3"/>
      <c r="G28" s="3">
        <v>0.99936282941394605</v>
      </c>
      <c r="H28" s="4" t="s">
        <v>90</v>
      </c>
      <c r="I28" s="5">
        <v>0.98269125777015198</v>
      </c>
      <c r="J28" s="11"/>
      <c r="K28" s="4" t="s">
        <v>91</v>
      </c>
      <c r="L28" s="5">
        <v>0.99732827610987496</v>
      </c>
      <c r="M28" s="4" t="s">
        <v>92</v>
      </c>
      <c r="N28" s="5">
        <v>0.99891021900633503</v>
      </c>
      <c r="O28" s="3">
        <v>0.98796859966484096</v>
      </c>
      <c r="P28" s="2" t="b">
        <f>FALSE()</f>
        <v>0</v>
      </c>
      <c r="Q28" s="2" t="b">
        <f>FALSE()</f>
        <v>0</v>
      </c>
      <c r="R28" s="2" t="b">
        <f>TRUE()</f>
        <v>1</v>
      </c>
      <c r="S28" s="2" t="b">
        <f>TRUE()</f>
        <v>1</v>
      </c>
      <c r="T28" s="2" t="b">
        <f>TRUE()</f>
        <v>1</v>
      </c>
      <c r="U28" s="2" t="b">
        <f>TRUE()</f>
        <v>1</v>
      </c>
    </row>
    <row r="29" spans="1:21" ht="28.8" x14ac:dyDescent="0.55000000000000004">
      <c r="A29" s="2" t="s">
        <v>138</v>
      </c>
      <c r="B29" s="3">
        <v>0.99885757544001497</v>
      </c>
      <c r="C29" s="2" t="s">
        <v>139</v>
      </c>
      <c r="D29" s="3">
        <v>0.97877366603085303</v>
      </c>
      <c r="E29" s="2"/>
      <c r="F29" s="3"/>
      <c r="G29" s="3">
        <v>0.95223072847148904</v>
      </c>
      <c r="H29" s="4" t="s">
        <v>96</v>
      </c>
      <c r="I29" s="5">
        <v>0.64383594128809596</v>
      </c>
      <c r="J29" s="12" t="s">
        <v>220</v>
      </c>
      <c r="K29" s="4" t="s">
        <v>97</v>
      </c>
      <c r="L29" s="5">
        <v>0.92647665783899302</v>
      </c>
      <c r="M29" s="4" t="s">
        <v>98</v>
      </c>
      <c r="N29" s="5">
        <v>0.91791428921256302</v>
      </c>
      <c r="O29" s="3">
        <v>0.69437885377506203</v>
      </c>
      <c r="P29" s="2" t="b">
        <f>FALSE()</f>
        <v>0</v>
      </c>
      <c r="Q29" s="2" t="b">
        <f>FALSE()</f>
        <v>0</v>
      </c>
      <c r="R29" s="2" t="b">
        <f>TRUE()</f>
        <v>1</v>
      </c>
      <c r="S29" s="2" t="b">
        <f>TRUE()</f>
        <v>1</v>
      </c>
      <c r="T29" s="2" t="b">
        <f>TRUE()</f>
        <v>1</v>
      </c>
      <c r="U29" s="2" t="b">
        <f>TRUE()</f>
        <v>1</v>
      </c>
    </row>
    <row r="30" spans="1:21" x14ac:dyDescent="0.55000000000000004">
      <c r="A30" s="2" t="s">
        <v>140</v>
      </c>
      <c r="B30" s="3">
        <v>0.93023488116442699</v>
      </c>
      <c r="C30" s="2" t="s">
        <v>141</v>
      </c>
      <c r="D30" s="3">
        <v>0.97531802217749397</v>
      </c>
      <c r="E30" s="2" t="s">
        <v>63</v>
      </c>
      <c r="F30" s="3">
        <v>0.94913830971464097</v>
      </c>
      <c r="G30" s="3"/>
      <c r="H30" s="2" t="s">
        <v>142</v>
      </c>
      <c r="I30" s="3">
        <v>0.79794784617074599</v>
      </c>
      <c r="J30" s="10" t="s">
        <v>204</v>
      </c>
      <c r="K30" s="2" t="s">
        <v>65</v>
      </c>
      <c r="L30" s="3">
        <v>0.97351185331365397</v>
      </c>
      <c r="M30" s="2" t="s">
        <v>66</v>
      </c>
      <c r="N30" s="3">
        <v>0.94856598997341401</v>
      </c>
      <c r="O30" s="3"/>
      <c r="P30" s="2" t="b">
        <f>FALSE()</f>
        <v>0</v>
      </c>
      <c r="Q30" s="2" t="b">
        <f>FALSE()</f>
        <v>0</v>
      </c>
      <c r="R30" s="2" t="b">
        <f>FALSE()</f>
        <v>0</v>
      </c>
      <c r="S30" s="2" t="b">
        <f>TRUE()</f>
        <v>1</v>
      </c>
      <c r="T30" s="2" t="b">
        <f>TRUE()</f>
        <v>1</v>
      </c>
      <c r="U30" s="2" t="b">
        <f>FALSE()</f>
        <v>0</v>
      </c>
    </row>
    <row r="31" spans="1:21" x14ac:dyDescent="0.55000000000000004">
      <c r="A31" s="2" t="s">
        <v>143</v>
      </c>
      <c r="B31" s="3">
        <v>0.99612388265030904</v>
      </c>
      <c r="C31" s="2" t="s">
        <v>144</v>
      </c>
      <c r="D31" s="3">
        <v>0.96979518794634001</v>
      </c>
      <c r="E31" s="2" t="s">
        <v>101</v>
      </c>
      <c r="F31" s="3">
        <v>0.92557619687431503</v>
      </c>
      <c r="G31" s="3">
        <v>0.95593975868963899</v>
      </c>
      <c r="H31" s="2" t="s">
        <v>145</v>
      </c>
      <c r="I31" s="3">
        <v>0.80379315922894801</v>
      </c>
      <c r="J31" s="12" t="s">
        <v>206</v>
      </c>
      <c r="K31" s="2"/>
      <c r="L31" s="3"/>
      <c r="M31" s="2"/>
      <c r="N31" s="3"/>
      <c r="O31" s="3">
        <v>0.88884258326185595</v>
      </c>
      <c r="P31" s="2" t="b">
        <f>FALSE()</f>
        <v>0</v>
      </c>
      <c r="Q31" s="2" t="b">
        <f>FALSE()</f>
        <v>0</v>
      </c>
      <c r="R31" s="2" t="b">
        <f>TRUE()</f>
        <v>1</v>
      </c>
      <c r="S31" s="2" t="b">
        <f>TRUE()</f>
        <v>1</v>
      </c>
      <c r="T31" s="2" t="b">
        <f>TRUE()</f>
        <v>1</v>
      </c>
      <c r="U31" s="2" t="b">
        <f>TRUE()</f>
        <v>1</v>
      </c>
    </row>
    <row r="32" spans="1:21" x14ac:dyDescent="0.55000000000000004">
      <c r="A32" s="2" t="s">
        <v>146</v>
      </c>
      <c r="B32" s="3">
        <v>0.99546884495350196</v>
      </c>
      <c r="C32" s="2" t="s">
        <v>147</v>
      </c>
      <c r="D32" s="3">
        <v>0.96094372119538096</v>
      </c>
      <c r="E32" s="2"/>
      <c r="F32" s="3"/>
      <c r="G32" s="3">
        <v>0.95098289509888201</v>
      </c>
      <c r="H32" s="2" t="s">
        <v>148</v>
      </c>
      <c r="I32" s="3">
        <v>0.773087063383051</v>
      </c>
      <c r="J32" s="12" t="s">
        <v>202</v>
      </c>
      <c r="K32" s="2"/>
      <c r="L32" s="3"/>
      <c r="M32" s="2"/>
      <c r="N32" s="3"/>
      <c r="O32" s="3">
        <v>0.98103537561237697</v>
      </c>
      <c r="P32" s="2" t="b">
        <f>FALSE()</f>
        <v>0</v>
      </c>
      <c r="Q32" s="2" t="b">
        <f>FALSE()</f>
        <v>0</v>
      </c>
      <c r="R32" s="2" t="b">
        <f>TRUE()</f>
        <v>1</v>
      </c>
      <c r="S32" s="2" t="b">
        <f>TRUE()</f>
        <v>1</v>
      </c>
      <c r="T32" s="2" t="b">
        <f>TRUE()</f>
        <v>1</v>
      </c>
      <c r="U32" s="2" t="b">
        <f>TRUE()</f>
        <v>1</v>
      </c>
    </row>
    <row r="33" spans="1:21" x14ac:dyDescent="0.55000000000000004">
      <c r="A33" s="2" t="s">
        <v>149</v>
      </c>
      <c r="B33" s="3">
        <v>0.99426561898451804</v>
      </c>
      <c r="C33" s="2" t="s">
        <v>150</v>
      </c>
      <c r="D33" s="3">
        <v>0.960618679596976</v>
      </c>
      <c r="E33" s="2"/>
      <c r="F33" s="3"/>
      <c r="G33" s="3">
        <v>0.92600538642485097</v>
      </c>
      <c r="H33" s="2" t="s">
        <v>151</v>
      </c>
      <c r="I33" s="3">
        <v>0.96619199116131604</v>
      </c>
      <c r="J33" s="9"/>
      <c r="K33" s="2" t="s">
        <v>152</v>
      </c>
      <c r="L33" s="3">
        <v>0.98873334451980499</v>
      </c>
      <c r="M33" s="2"/>
      <c r="N33" s="3"/>
      <c r="O33" s="3">
        <v>0.990644897191167</v>
      </c>
      <c r="P33" s="2" t="b">
        <f>FALSE()</f>
        <v>0</v>
      </c>
      <c r="Q33" s="2" t="b">
        <f>FALSE()</f>
        <v>0</v>
      </c>
      <c r="R33" s="2" t="b">
        <f>TRUE()</f>
        <v>1</v>
      </c>
      <c r="S33" s="2" t="b">
        <f>TRUE()</f>
        <v>1</v>
      </c>
      <c r="T33" s="2" t="b">
        <f>TRUE()</f>
        <v>1</v>
      </c>
      <c r="U33" s="2" t="b">
        <f>TRUE()</f>
        <v>1</v>
      </c>
    </row>
    <row r="34" spans="1:21" x14ac:dyDescent="0.55000000000000004">
      <c r="A34" s="2" t="s">
        <v>153</v>
      </c>
      <c r="B34" s="3">
        <v>0.99932784966657695</v>
      </c>
      <c r="C34" s="2" t="s">
        <v>154</v>
      </c>
      <c r="D34" s="3">
        <v>0.95978192111576399</v>
      </c>
      <c r="E34" s="2" t="s">
        <v>155</v>
      </c>
      <c r="F34" s="3">
        <v>0.94359773189652796</v>
      </c>
      <c r="G34" s="3">
        <v>0.96391055406500004</v>
      </c>
      <c r="H34" s="2" t="s">
        <v>156</v>
      </c>
      <c r="I34" s="3">
        <v>0.956434478702747</v>
      </c>
      <c r="J34" s="9"/>
      <c r="K34" s="2" t="s">
        <v>157</v>
      </c>
      <c r="L34" s="3">
        <v>0.98811291673020296</v>
      </c>
      <c r="M34" s="2" t="s">
        <v>158</v>
      </c>
      <c r="N34" s="3">
        <v>0.96364997995685697</v>
      </c>
      <c r="O34" s="3">
        <v>0.99772009482618196</v>
      </c>
      <c r="P34" s="2" t="b">
        <f>FALSE()</f>
        <v>0</v>
      </c>
      <c r="Q34" s="2" t="b">
        <f>FALSE()</f>
        <v>0</v>
      </c>
      <c r="R34" s="2" t="b">
        <f>TRUE()</f>
        <v>1</v>
      </c>
      <c r="S34" s="2" t="b">
        <f>TRUE()</f>
        <v>1</v>
      </c>
      <c r="T34" s="2" t="b">
        <f>TRUE()</f>
        <v>1</v>
      </c>
      <c r="U34" s="2" t="b">
        <f>TRUE()</f>
        <v>1</v>
      </c>
    </row>
    <row r="35" spans="1:21" ht="28.8" x14ac:dyDescent="0.55000000000000004">
      <c r="A35" s="2" t="s">
        <v>159</v>
      </c>
      <c r="B35" s="3">
        <v>0.99801691711070795</v>
      </c>
      <c r="C35" s="2" t="s">
        <v>160</v>
      </c>
      <c r="D35" s="3">
        <v>0.95619977293087599</v>
      </c>
      <c r="E35" s="2"/>
      <c r="F35" s="3"/>
      <c r="G35" s="3">
        <v>0.90378716054722397</v>
      </c>
      <c r="H35" s="4" t="s">
        <v>75</v>
      </c>
      <c r="I35" s="5">
        <v>0.578876004293571</v>
      </c>
      <c r="J35" s="12" t="s">
        <v>219</v>
      </c>
      <c r="K35" s="4" t="s">
        <v>76</v>
      </c>
      <c r="L35" s="5">
        <v>0.93472360371768604</v>
      </c>
      <c r="M35" s="4"/>
      <c r="N35" s="5"/>
      <c r="O35" s="3">
        <v>0.58342811893119895</v>
      </c>
      <c r="P35" s="2" t="b">
        <f>FALSE()</f>
        <v>0</v>
      </c>
      <c r="Q35" s="2" t="b">
        <f>FALSE()</f>
        <v>0</v>
      </c>
      <c r="R35" s="2" t="b">
        <f>TRUE()</f>
        <v>1</v>
      </c>
      <c r="S35" s="2" t="b">
        <f>TRUE()</f>
        <v>1</v>
      </c>
      <c r="T35" s="2" t="b">
        <f>TRUE()</f>
        <v>1</v>
      </c>
      <c r="U35" s="2" t="b">
        <f>TRUE()</f>
        <v>1</v>
      </c>
    </row>
    <row r="36" spans="1:21" x14ac:dyDescent="0.55000000000000004">
      <c r="A36" s="7" t="s">
        <v>161</v>
      </c>
      <c r="B36" s="3">
        <v>0.99540710768755203</v>
      </c>
      <c r="C36" s="8" t="s">
        <v>203</v>
      </c>
      <c r="D36" s="3">
        <v>0.95311749215276198</v>
      </c>
      <c r="E36" s="2" t="s">
        <v>162</v>
      </c>
      <c r="F36" s="3">
        <v>0.91356915180424103</v>
      </c>
      <c r="G36" s="3">
        <v>0.89300352756420298</v>
      </c>
      <c r="H36" s="4" t="s">
        <v>70</v>
      </c>
      <c r="I36" s="5">
        <v>0.90592938388244004</v>
      </c>
      <c r="J36" s="13" t="s">
        <v>210</v>
      </c>
      <c r="K36" s="4" t="s">
        <v>71</v>
      </c>
      <c r="L36" s="5">
        <v>0.99267322886806197</v>
      </c>
      <c r="M36" s="4" t="s">
        <v>72</v>
      </c>
      <c r="N36" s="5">
        <v>0.95259175672931096</v>
      </c>
      <c r="O36" s="3">
        <v>0.91169078183049401</v>
      </c>
      <c r="P36" s="2" t="b">
        <f>FALSE()</f>
        <v>0</v>
      </c>
      <c r="Q36" s="2" t="b">
        <f>FALSE()</f>
        <v>0</v>
      </c>
      <c r="R36" s="2" t="b">
        <f>TRUE()</f>
        <v>1</v>
      </c>
      <c r="S36" s="2" t="b">
        <f>TRUE()</f>
        <v>1</v>
      </c>
      <c r="T36" s="2" t="b">
        <f>TRUE()</f>
        <v>1</v>
      </c>
      <c r="U36" s="2" t="b">
        <f>TRUE()</f>
        <v>1</v>
      </c>
    </row>
    <row r="37" spans="1:21" x14ac:dyDescent="0.55000000000000004">
      <c r="A37" s="2" t="s">
        <v>163</v>
      </c>
      <c r="B37" s="3">
        <v>0.96300809403937104</v>
      </c>
      <c r="C37" s="2" t="s">
        <v>164</v>
      </c>
      <c r="D37" s="3">
        <v>0.94108117380626199</v>
      </c>
      <c r="E37" s="2" t="s">
        <v>135</v>
      </c>
      <c r="F37" s="3">
        <v>0.93766289313779005</v>
      </c>
      <c r="G37" s="3">
        <v>0.96882036277851502</v>
      </c>
      <c r="H37" s="2" t="s">
        <v>165</v>
      </c>
      <c r="I37" s="3">
        <v>0.80150031897065199</v>
      </c>
      <c r="J37" s="10" t="s">
        <v>216</v>
      </c>
      <c r="K37" s="2"/>
      <c r="L37" s="3"/>
      <c r="M37" s="2"/>
      <c r="N37" s="3"/>
      <c r="O37" s="3">
        <v>0.10242990011707601</v>
      </c>
      <c r="P37" s="2" t="b">
        <f>TRUE()</f>
        <v>1</v>
      </c>
      <c r="Q37" s="2" t="b">
        <f>FALSE()</f>
        <v>0</v>
      </c>
      <c r="R37" s="2" t="b">
        <f>TRUE()</f>
        <v>1</v>
      </c>
      <c r="S37" s="2" t="b">
        <f>TRUE()</f>
        <v>1</v>
      </c>
      <c r="T37" s="2" t="b">
        <f>TRUE()</f>
        <v>1</v>
      </c>
      <c r="U37" s="2" t="b">
        <f>TRUE()</f>
        <v>1</v>
      </c>
    </row>
    <row r="38" spans="1:21" x14ac:dyDescent="0.55000000000000004">
      <c r="A38" s="2" t="s">
        <v>166</v>
      </c>
      <c r="B38" s="3">
        <v>0.98508709006725503</v>
      </c>
      <c r="C38" s="2" t="s">
        <v>167</v>
      </c>
      <c r="D38" s="3">
        <v>0.93366745788277805</v>
      </c>
      <c r="E38" s="2"/>
      <c r="F38" s="3"/>
      <c r="G38" s="3">
        <v>0.93185217712559099</v>
      </c>
      <c r="H38" s="4" t="s">
        <v>90</v>
      </c>
      <c r="I38" s="5">
        <v>0.95558342318777101</v>
      </c>
      <c r="J38" s="11"/>
      <c r="K38" s="4" t="s">
        <v>91</v>
      </c>
      <c r="L38" s="5">
        <v>0.99732827610987496</v>
      </c>
      <c r="M38" s="4" t="s">
        <v>92</v>
      </c>
      <c r="N38" s="5">
        <v>0.99891021900633503</v>
      </c>
      <c r="O38" s="3">
        <v>0.900903588821511</v>
      </c>
      <c r="P38" s="2" t="b">
        <f>FALSE()</f>
        <v>0</v>
      </c>
      <c r="Q38" s="2" t="b">
        <f>FALSE()</f>
        <v>0</v>
      </c>
      <c r="R38" s="2" t="b">
        <f>TRUE()</f>
        <v>1</v>
      </c>
      <c r="S38" s="2" t="b">
        <f>TRUE()</f>
        <v>1</v>
      </c>
      <c r="T38" s="2" t="b">
        <f>TRUE()</f>
        <v>1</v>
      </c>
      <c r="U38" s="2" t="b">
        <f>TRUE()</f>
        <v>1</v>
      </c>
    </row>
    <row r="39" spans="1:21" x14ac:dyDescent="0.55000000000000004">
      <c r="A39" s="2" t="s">
        <v>168</v>
      </c>
      <c r="B39" s="3">
        <v>0.99343369006003901</v>
      </c>
      <c r="C39" s="2" t="s">
        <v>169</v>
      </c>
      <c r="D39" s="3">
        <v>0.92896248136107495</v>
      </c>
      <c r="E39" s="2" t="s">
        <v>170</v>
      </c>
      <c r="F39" s="3">
        <v>0.96549158314052297</v>
      </c>
      <c r="G39" s="3">
        <v>0.93784301033481299</v>
      </c>
      <c r="H39" s="4" t="s">
        <v>171</v>
      </c>
      <c r="I39" s="5">
        <v>0.90936321357592997</v>
      </c>
      <c r="J39" s="11"/>
      <c r="K39" s="4"/>
      <c r="L39" s="5"/>
      <c r="M39" s="4" t="s">
        <v>172</v>
      </c>
      <c r="N39" s="5">
        <v>0.904943856064789</v>
      </c>
      <c r="O39" s="3">
        <v>0.95427969033021498</v>
      </c>
      <c r="P39" s="2" t="b">
        <f>FALSE()</f>
        <v>0</v>
      </c>
      <c r="Q39" s="2" t="b">
        <f>FALSE()</f>
        <v>0</v>
      </c>
      <c r="R39" s="2" t="b">
        <f>TRUE()</f>
        <v>1</v>
      </c>
      <c r="S39" s="2" t="b">
        <f>TRUE()</f>
        <v>1</v>
      </c>
      <c r="T39" s="2" t="b">
        <f>TRUE()</f>
        <v>1</v>
      </c>
      <c r="U39" s="2" t="b">
        <f>TRUE()</f>
        <v>1</v>
      </c>
    </row>
    <row r="40" spans="1:21" x14ac:dyDescent="0.55000000000000004">
      <c r="A40" s="2" t="s">
        <v>173</v>
      </c>
      <c r="B40" s="3">
        <v>0.996905610562691</v>
      </c>
      <c r="C40" s="2" t="s">
        <v>174</v>
      </c>
      <c r="D40" s="3">
        <v>0.92832982666178798</v>
      </c>
      <c r="E40" s="2"/>
      <c r="F40" s="3"/>
      <c r="G40" s="3">
        <v>0.86610979009905498</v>
      </c>
      <c r="H40" s="2" t="s">
        <v>175</v>
      </c>
      <c r="I40" s="3">
        <v>0.64522944465389098</v>
      </c>
      <c r="J40" s="12" t="s">
        <v>211</v>
      </c>
      <c r="K40" s="2"/>
      <c r="L40" s="3"/>
      <c r="M40" s="2" t="s">
        <v>176</v>
      </c>
      <c r="N40" s="3">
        <v>0.93672959877858797</v>
      </c>
      <c r="O40" s="3">
        <v>0.95628868342249496</v>
      </c>
      <c r="P40" s="2" t="b">
        <f>FALSE()</f>
        <v>0</v>
      </c>
      <c r="Q40" s="2" t="b">
        <f>FALSE()</f>
        <v>0</v>
      </c>
      <c r="R40" s="2" t="b">
        <f>TRUE()</f>
        <v>1</v>
      </c>
      <c r="S40" s="2" t="b">
        <f>TRUE()</f>
        <v>1</v>
      </c>
      <c r="T40" s="2" t="b">
        <f>TRUE()</f>
        <v>1</v>
      </c>
      <c r="U40" s="2" t="b">
        <f>TRUE()</f>
        <v>1</v>
      </c>
    </row>
    <row r="41" spans="1:21" x14ac:dyDescent="0.55000000000000004">
      <c r="A41" s="2" t="s">
        <v>177</v>
      </c>
      <c r="B41" s="3">
        <v>0.99782601005134997</v>
      </c>
      <c r="C41" s="2" t="s">
        <v>178</v>
      </c>
      <c r="D41" s="3">
        <v>0.92483352603632896</v>
      </c>
      <c r="E41" s="2" t="s">
        <v>179</v>
      </c>
      <c r="F41" s="3">
        <v>0.919687678194686</v>
      </c>
      <c r="G41" s="3">
        <v>0.78625199053601003</v>
      </c>
      <c r="H41" s="2" t="s">
        <v>180</v>
      </c>
      <c r="I41" s="3">
        <v>0.95081636120519397</v>
      </c>
      <c r="J41" s="10" t="s">
        <v>214</v>
      </c>
      <c r="K41" s="2" t="s">
        <v>181</v>
      </c>
      <c r="L41" s="3">
        <v>0.91332243570510596</v>
      </c>
      <c r="M41" s="2"/>
      <c r="N41" s="3"/>
      <c r="O41" s="3">
        <v>0.97976313151032401</v>
      </c>
      <c r="P41" s="2" t="b">
        <f>FALSE()</f>
        <v>0</v>
      </c>
      <c r="Q41" s="2" t="b">
        <f>FALSE()</f>
        <v>0</v>
      </c>
      <c r="R41" s="2" t="b">
        <f>TRUE()</f>
        <v>1</v>
      </c>
      <c r="S41" s="2" t="b">
        <f>TRUE()</f>
        <v>1</v>
      </c>
      <c r="T41" s="2" t="b">
        <f>TRUE()</f>
        <v>1</v>
      </c>
      <c r="U41" s="2" t="b">
        <f>TRUE()</f>
        <v>1</v>
      </c>
    </row>
    <row r="42" spans="1:21" x14ac:dyDescent="0.55000000000000004">
      <c r="A42" s="2" t="s">
        <v>182</v>
      </c>
      <c r="B42" s="3">
        <v>0.96131196193692503</v>
      </c>
      <c r="C42" s="2" t="s">
        <v>183</v>
      </c>
      <c r="D42" s="3">
        <v>0.92303294088241505</v>
      </c>
      <c r="E42" s="2" t="s">
        <v>184</v>
      </c>
      <c r="F42" s="3">
        <v>0.93647989440546997</v>
      </c>
      <c r="G42" s="3">
        <v>0.92905425703784705</v>
      </c>
      <c r="H42" s="4" t="s">
        <v>45</v>
      </c>
      <c r="I42" s="5">
        <v>0.99849311270977603</v>
      </c>
      <c r="J42" s="11"/>
      <c r="K42" s="4" t="s">
        <v>46</v>
      </c>
      <c r="L42" s="5">
        <v>0.99899722507161304</v>
      </c>
      <c r="M42" s="4" t="s">
        <v>47</v>
      </c>
      <c r="N42" s="5">
        <v>0.99857761888833096</v>
      </c>
      <c r="O42" s="3">
        <v>0.99567742280303195</v>
      </c>
      <c r="P42" s="2" t="b">
        <f>FALSE()</f>
        <v>0</v>
      </c>
      <c r="Q42" s="2" t="b">
        <f>FALSE()</f>
        <v>0</v>
      </c>
      <c r="R42" s="2" t="b">
        <f>TRUE()</f>
        <v>1</v>
      </c>
      <c r="S42" s="2" t="b">
        <f>TRUE()</f>
        <v>1</v>
      </c>
      <c r="T42" s="2" t="b">
        <f>TRUE()</f>
        <v>1</v>
      </c>
      <c r="U42" s="2" t="b">
        <f>TRUE()</f>
        <v>1</v>
      </c>
    </row>
    <row r="43" spans="1:21" ht="28.8" x14ac:dyDescent="0.55000000000000004">
      <c r="A43" s="2" t="s">
        <v>185</v>
      </c>
      <c r="B43" s="3">
        <v>0.96704427817320304</v>
      </c>
      <c r="C43" s="2" t="s">
        <v>186</v>
      </c>
      <c r="D43" s="3">
        <v>0.85935836430286405</v>
      </c>
      <c r="E43" s="2"/>
      <c r="F43" s="3"/>
      <c r="G43" s="3">
        <v>0.80216430174046904</v>
      </c>
      <c r="H43" s="2" t="s">
        <v>187</v>
      </c>
      <c r="I43" s="3">
        <v>0.49489877965671902</v>
      </c>
      <c r="J43" s="12" t="s">
        <v>218</v>
      </c>
      <c r="K43" s="2"/>
      <c r="L43" s="3"/>
      <c r="M43" s="2"/>
      <c r="N43" s="3"/>
      <c r="O43" s="3">
        <v>0.88650037587269903</v>
      </c>
      <c r="P43" s="2" t="b">
        <f>TRUE()</f>
        <v>1</v>
      </c>
      <c r="Q43" s="2" t="b">
        <f>FALSE()</f>
        <v>0</v>
      </c>
      <c r="R43" s="2" t="b">
        <f>TRUE()</f>
        <v>1</v>
      </c>
      <c r="S43" s="2" t="b">
        <f>TRUE()</f>
        <v>1</v>
      </c>
      <c r="T43" s="2" t="b">
        <f>TRUE()</f>
        <v>1</v>
      </c>
      <c r="U43" s="2" t="b">
        <f>TRUE()</f>
        <v>1</v>
      </c>
    </row>
    <row r="44" spans="1:21" ht="28.8" x14ac:dyDescent="0.55000000000000004">
      <c r="A44" s="2" t="s">
        <v>188</v>
      </c>
      <c r="B44" s="3">
        <v>0.93087231124507397</v>
      </c>
      <c r="C44" s="2" t="s">
        <v>189</v>
      </c>
      <c r="D44" s="3">
        <v>0.85041385197205799</v>
      </c>
      <c r="E44" s="2"/>
      <c r="F44" s="3"/>
      <c r="G44" s="3">
        <v>0.67599530057677404</v>
      </c>
      <c r="H44" s="2" t="s">
        <v>190</v>
      </c>
      <c r="I44" s="3">
        <v>0.74612994554697099</v>
      </c>
      <c r="J44" s="12" t="s">
        <v>215</v>
      </c>
      <c r="K44" s="2"/>
      <c r="L44" s="3"/>
      <c r="M44" s="2"/>
      <c r="N44" s="3"/>
      <c r="O44" s="3">
        <v>0.81979587163539702</v>
      </c>
      <c r="P44" s="2" t="b">
        <f>FALSE()</f>
        <v>0</v>
      </c>
      <c r="Q44" s="2" t="b">
        <f>FALSE()</f>
        <v>0</v>
      </c>
      <c r="R44" s="2" t="b">
        <f>TRUE()</f>
        <v>1</v>
      </c>
      <c r="S44" s="2" t="b">
        <f>TRUE()</f>
        <v>1</v>
      </c>
      <c r="T44" s="2" t="b">
        <f>TRUE()</f>
        <v>1</v>
      </c>
      <c r="U44" s="2" t="b">
        <f>TRUE()</f>
        <v>1</v>
      </c>
    </row>
    <row r="45" spans="1:21" ht="28.8" x14ac:dyDescent="0.55000000000000004">
      <c r="A45" s="2" t="s">
        <v>191</v>
      </c>
      <c r="B45" s="3">
        <v>0.99579818487929594</v>
      </c>
      <c r="C45" s="2" t="s">
        <v>192</v>
      </c>
      <c r="D45" s="3">
        <v>0.83768983064591496</v>
      </c>
      <c r="E45" s="2"/>
      <c r="F45" s="3"/>
      <c r="G45" s="3">
        <v>0.85257306905545904</v>
      </c>
      <c r="H45" s="4" t="s">
        <v>118</v>
      </c>
      <c r="I45" s="5">
        <v>0.28997164881995402</v>
      </c>
      <c r="J45" s="12" t="s">
        <v>209</v>
      </c>
      <c r="K45" s="4"/>
      <c r="L45" s="5"/>
      <c r="M45" s="4" t="s">
        <v>119</v>
      </c>
      <c r="N45" s="5">
        <v>0.99181922037815495</v>
      </c>
      <c r="O45" s="3">
        <v>0.54730179459558403</v>
      </c>
      <c r="P45" s="2" t="b">
        <f>FALSE()</f>
        <v>0</v>
      </c>
      <c r="Q45" s="2" t="b">
        <f>FALSE()</f>
        <v>0</v>
      </c>
      <c r="R45" s="2" t="b">
        <f>TRUE()</f>
        <v>1</v>
      </c>
      <c r="S45" s="2" t="b">
        <f>TRUE()</f>
        <v>1</v>
      </c>
      <c r="T45" s="2" t="b">
        <f>TRUE()</f>
        <v>1</v>
      </c>
      <c r="U45" s="2" t="b">
        <f>TRUE()</f>
        <v>1</v>
      </c>
    </row>
    <row r="46" spans="1:21" ht="28.8" x14ac:dyDescent="0.55000000000000004">
      <c r="A46" s="2" t="s">
        <v>193</v>
      </c>
      <c r="B46" s="3"/>
      <c r="C46" s="2" t="s">
        <v>194</v>
      </c>
      <c r="D46" s="3">
        <v>0.66987386568394003</v>
      </c>
      <c r="E46" s="2" t="s">
        <v>195</v>
      </c>
      <c r="F46" s="3">
        <v>0.96921330377549897</v>
      </c>
      <c r="G46" s="3"/>
      <c r="H46" s="2" t="s">
        <v>196</v>
      </c>
      <c r="I46" s="3">
        <v>0.57903881145406499</v>
      </c>
      <c r="J46" s="10" t="s">
        <v>212</v>
      </c>
      <c r="K46" s="2"/>
      <c r="L46" s="3"/>
      <c r="M46" s="2"/>
      <c r="N46" s="3"/>
      <c r="O46" s="3"/>
      <c r="P46" s="2" t="b">
        <f>FALSE()</f>
        <v>0</v>
      </c>
      <c r="Q46" s="2" t="b">
        <f>FALSE()</f>
        <v>0</v>
      </c>
      <c r="R46" s="2" t="b">
        <f>FALSE()</f>
        <v>0</v>
      </c>
      <c r="S46" s="2" t="b">
        <f>TRUE()</f>
        <v>1</v>
      </c>
      <c r="T46" s="2" t="b">
        <f>FALSE()</f>
        <v>0</v>
      </c>
      <c r="U46" s="2" t="b">
        <f>FALSE()</f>
        <v>0</v>
      </c>
    </row>
    <row r="47" spans="1:21" x14ac:dyDescent="0.55000000000000004">
      <c r="A47" s="2" t="s">
        <v>197</v>
      </c>
      <c r="B47" s="3">
        <v>0.99772473347964297</v>
      </c>
      <c r="C47" s="2" t="s">
        <v>198</v>
      </c>
      <c r="D47" s="3">
        <v>0.64246677320873902</v>
      </c>
      <c r="E47" s="2" t="s">
        <v>170</v>
      </c>
      <c r="F47" s="3">
        <v>0.919336320026093</v>
      </c>
      <c r="G47" s="3">
        <v>0.53783715051868897</v>
      </c>
      <c r="H47" s="4" t="s">
        <v>171</v>
      </c>
      <c r="I47" s="5">
        <v>0.50940138686339598</v>
      </c>
      <c r="J47" s="12" t="s">
        <v>213</v>
      </c>
      <c r="K47" s="4"/>
      <c r="L47" s="5"/>
      <c r="M47" s="4" t="s">
        <v>172</v>
      </c>
      <c r="N47" s="5">
        <v>0.904943856064789</v>
      </c>
      <c r="O47" s="3">
        <v>0.99641650729412201</v>
      </c>
      <c r="P47" s="2" t="b">
        <f>FALSE()</f>
        <v>0</v>
      </c>
      <c r="Q47" s="2" t="b">
        <f>FALSE()</f>
        <v>0</v>
      </c>
      <c r="R47" s="2" t="b">
        <f>TRUE()</f>
        <v>1</v>
      </c>
      <c r="S47" s="2" t="b">
        <f>TRUE()</f>
        <v>1</v>
      </c>
      <c r="T47" s="2" t="b">
        <f>TRUE()</f>
        <v>1</v>
      </c>
      <c r="U47" s="2" t="b">
        <f>TRUE()</f>
        <v>1</v>
      </c>
    </row>
    <row r="48" spans="1:21" x14ac:dyDescent="0.55000000000000004">
      <c r="A48" s="2" t="s">
        <v>199</v>
      </c>
      <c r="B48" s="3">
        <v>0.99769796743711003</v>
      </c>
      <c r="C48" s="8" t="s">
        <v>201</v>
      </c>
      <c r="D48" s="3">
        <v>0.59843282972960499</v>
      </c>
      <c r="E48" s="2"/>
      <c r="F48" s="3"/>
      <c r="G48" s="3">
        <v>0.56783047026859401</v>
      </c>
      <c r="H48" s="4" t="s">
        <v>75</v>
      </c>
      <c r="I48" s="5">
        <v>0.43932144230840797</v>
      </c>
      <c r="J48" s="12" t="s">
        <v>217</v>
      </c>
      <c r="K48" s="4" t="s">
        <v>76</v>
      </c>
      <c r="L48" s="5">
        <v>0.93472360371768604</v>
      </c>
      <c r="M48" s="4"/>
      <c r="N48" s="5"/>
      <c r="O48" s="3">
        <v>0.83756139457844603</v>
      </c>
      <c r="P48" s="2" t="b">
        <f>FALSE()</f>
        <v>0</v>
      </c>
      <c r="Q48" s="2" t="b">
        <f>FALSE()</f>
        <v>0</v>
      </c>
      <c r="R48" s="2" t="b">
        <f>TRUE()</f>
        <v>1</v>
      </c>
      <c r="S48" s="2" t="b">
        <f>TRUE()</f>
        <v>1</v>
      </c>
      <c r="T48" s="2" t="b">
        <f>TRUE()</f>
        <v>1</v>
      </c>
      <c r="U48" s="2" t="b">
        <f>TRUE()</f>
        <v>1</v>
      </c>
    </row>
    <row r="50" spans="1:2" x14ac:dyDescent="0.55000000000000004">
      <c r="B50">
        <f>AVERAGE(B2:B46)</f>
        <v>0.99037974060222445</v>
      </c>
    </row>
    <row r="53" spans="1:2" x14ac:dyDescent="0.55000000000000004">
      <c r="A53" t="s">
        <v>200</v>
      </c>
    </row>
  </sheetData>
  <phoneticPr fontId="3" type="noConversion"/>
  <conditionalFormatting sqref="D2:D4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4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J4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">
    <cfRule type="colorScale" priority="3">
      <colorScale>
        <cfvo type="num" val="0.5"/>
        <cfvo type="num" val="1"/>
        <color rgb="FFFFC000"/>
        <color rgb="FF00B050"/>
      </colorScale>
    </cfRule>
  </conditionalFormatting>
  <conditionalFormatting sqref="I2:I48">
    <cfRule type="colorScale" priority="2">
      <colorScale>
        <cfvo type="num" val="0.28999999999999998"/>
        <cfvo type="num" val="1"/>
        <color theme="5" tint="0.39997558519241921"/>
        <color rgb="FF92D050"/>
      </colorScale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</dc:creator>
  <dc:description/>
  <cp:lastModifiedBy>Mo Liu</cp:lastModifiedBy>
  <cp:revision>1</cp:revision>
  <dcterms:created xsi:type="dcterms:W3CDTF">2026-01-20T01:52:56Z</dcterms:created>
  <dcterms:modified xsi:type="dcterms:W3CDTF">2026-02-04T05:19:05Z</dcterms:modified>
  <dc:language>en-US</dc:language>
</cp:coreProperties>
</file>