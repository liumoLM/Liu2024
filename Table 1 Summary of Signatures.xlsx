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8_{E35D0A77-D9ED-47C4-8876-A4C5CE911B29}" xr6:coauthVersionLast="47" xr6:coauthVersionMax="47" xr10:uidLastSave="{00000000-0000-0000-0000-000000000000}"/>
  <bookViews>
    <workbookView xWindow="-98" yWindow="-98" windowWidth="23596" windowHeight="1507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1" l="1"/>
  <c r="J48" i="1"/>
  <c r="P47" i="1"/>
  <c r="J47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  <c r="O47" i="1" l="1"/>
</calcChain>
</file>

<file path=xl/sharedStrings.xml><?xml version="1.0" encoding="utf-8"?>
<sst xmlns="http://schemas.openxmlformats.org/spreadsheetml/2006/main" count="725" uniqueCount="276">
  <si>
    <t>83Cat</t>
  </si>
  <si>
    <t>89Cat</t>
  </si>
  <si>
    <t>Potential Etiology</t>
  </si>
  <si>
    <t>Why this etiology?</t>
  </si>
  <si>
    <t>89-Type Classification Signature ID</t>
  </si>
  <si>
    <t>Cosine vs Extracted 476-Type Sig Collapsed to 89-Type</t>
  </si>
  <si>
    <t>BestMatch89 Linki+F1:F20ng Tumor</t>
  </si>
  <si>
    <t>BestMatch83 Tumor</t>
  </si>
  <si>
    <t>BestMatch476 Tumor</t>
  </si>
  <si>
    <t>Cosine 89-Type Sig vs BestMatch89 Spectrum</t>
  </si>
  <si>
    <t>&gt; 0.95</t>
  </si>
  <si>
    <t>&gt;0.9</t>
  </si>
  <si>
    <t>Best Match to Koh et al., 2025</t>
  </si>
  <si>
    <t>Cosine 89-Type Sig vs Koh et al.</t>
  </si>
  <si>
    <t>Cosine 476-Type Sig vs BestMatch476 Spectrum</t>
  </si>
  <si>
    <t>Cosine 476-Type Sig vs BestMatch89 476-Spectrum</t>
  </si>
  <si>
    <t>Extracted 83-Type Sig ID</t>
  </si>
  <si>
    <t>Cosine 83-Type Sig vs BestMatch83 Spectrum</t>
  </si>
  <si>
    <t>Cosine 83-Type Sig vs BestMatch89 83-Spectrum</t>
  </si>
  <si>
    <t>Closest COSMIC Sig ID</t>
  </si>
  <si>
    <t>Cosine of COSMIC Sig</t>
  </si>
  <si>
    <t>Closest Sig from Jin et al., 2024</t>
  </si>
  <si>
    <t>Cosine vs Jin et al.</t>
  </si>
  <si>
    <t>COSMIC and Jin</t>
  </si>
  <si>
    <t>Novel</t>
  </si>
  <si>
    <t>Replication slippage</t>
  </si>
  <si>
    <t>It is prevalent in most tumors in all tumortypes</t>
  </si>
  <si>
    <t>InsDel1a</t>
  </si>
  <si>
    <t>CPCT02050439T</t>
  </si>
  <si>
    <t>SP107784</t>
  </si>
  <si>
    <t>InD14</t>
  </si>
  <si>
    <t>C_ID1</t>
  </si>
  <si>
    <t>ID1</t>
  </si>
  <si>
    <t>ID1*</t>
  </si>
  <si>
    <t>Koh</t>
  </si>
  <si>
    <t xml:space="preserve">POLE </t>
  </si>
  <si>
    <t>Koh's paper</t>
  </si>
  <si>
    <t>InsDel1b</t>
  </si>
  <si>
    <t>SP21400</t>
  </si>
  <si>
    <t>SP16886</t>
  </si>
  <si>
    <t>InD15</t>
  </si>
  <si>
    <t>POLD1</t>
  </si>
  <si>
    <t>InsDel1c</t>
  </si>
  <si>
    <t>SP112907</t>
  </si>
  <si>
    <t>SP125809</t>
  </si>
  <si>
    <t>InD14*</t>
  </si>
  <si>
    <t>Replication Slippage</t>
  </si>
  <si>
    <t>InsDel2a</t>
  </si>
  <si>
    <t>SP17172</t>
  </si>
  <si>
    <t>DRUP01080031T</t>
  </si>
  <si>
    <t>CPCT02011050T</t>
  </si>
  <si>
    <t>InD2a</t>
  </si>
  <si>
    <t>C_ID2</t>
  </si>
  <si>
    <t>ID2</t>
  </si>
  <si>
    <t>ID2*</t>
  </si>
  <si>
    <t>dMMR</t>
  </si>
  <si>
    <t>Enriched in MSI tumors in our analysis</t>
  </si>
  <si>
    <t>InsDel2b</t>
  </si>
  <si>
    <t>SP96118</t>
  </si>
  <si>
    <t>NA</t>
  </si>
  <si>
    <t>InsDel2c</t>
  </si>
  <si>
    <t>DRUP01330020T</t>
  </si>
  <si>
    <t>Tobacco smoking like in bladder</t>
  </si>
  <si>
    <t>it's 83 looks like ID3, and was found more in Bladder tumor</t>
  </si>
  <si>
    <t>InsDel3a</t>
  </si>
  <si>
    <t>CPCT02050436T</t>
  </si>
  <si>
    <t>CPCT02020815T</t>
  </si>
  <si>
    <t>CPCT02040317T</t>
  </si>
  <si>
    <t>C_ID3</t>
  </si>
  <si>
    <t>ID3</t>
  </si>
  <si>
    <t>ID3*</t>
  </si>
  <si>
    <t>Tobacco smoking in lung</t>
  </si>
  <si>
    <t>Well known</t>
  </si>
  <si>
    <t>InsDel3b</t>
  </si>
  <si>
    <t>CPCT02080086T</t>
  </si>
  <si>
    <t>InD3b</t>
  </si>
  <si>
    <t>COSMIC</t>
  </si>
  <si>
    <t>InsDel4</t>
  </si>
  <si>
    <t>SP48008</t>
  </si>
  <si>
    <t>SP23925</t>
  </si>
  <si>
    <t>InD4a</t>
  </si>
  <si>
    <t>C_ID4</t>
  </si>
  <si>
    <t xml:space="preserve">COSMIC </t>
  </si>
  <si>
    <t>Clock-like in Kidney</t>
  </si>
  <si>
    <t>Mo will confirm this. Old analysis (Uncap9 indels) shows this</t>
  </si>
  <si>
    <t>InsDel5a</t>
  </si>
  <si>
    <t>SP97194</t>
  </si>
  <si>
    <t>SP102755</t>
  </si>
  <si>
    <t>InD29</t>
  </si>
  <si>
    <t>C_ID5</t>
  </si>
  <si>
    <t>ID5</t>
  </si>
  <si>
    <t>Clock-like in Liver</t>
  </si>
  <si>
    <t>InsDel5b</t>
  </si>
  <si>
    <t>SP112290</t>
  </si>
  <si>
    <t>InsDel5c</t>
  </si>
  <si>
    <t>SP8564</t>
  </si>
  <si>
    <t>SP28659</t>
  </si>
  <si>
    <t>defective HR</t>
  </si>
  <si>
    <t>InsDel6</t>
  </si>
  <si>
    <t>SP102035</t>
  </si>
  <si>
    <t>SP67609</t>
  </si>
  <si>
    <t>InD6</t>
  </si>
  <si>
    <t>C_ID6</t>
  </si>
  <si>
    <t>ID6</t>
  </si>
  <si>
    <t>Well known + Enriched in MSI tumors in our analysis</t>
  </si>
  <si>
    <t>InsDel7</t>
  </si>
  <si>
    <t>WIDE01010075T</t>
  </si>
  <si>
    <t>SP13539</t>
  </si>
  <si>
    <t>InD7</t>
  </si>
  <si>
    <t>C_ID7</t>
  </si>
  <si>
    <t>ID7</t>
  </si>
  <si>
    <t>Repair of DNA DSB by NHEJ</t>
  </si>
  <si>
    <t>InsDel8</t>
  </si>
  <si>
    <t>CPCT02070336T</t>
  </si>
  <si>
    <t>InD8</t>
  </si>
  <si>
    <t>C_ID8</t>
  </si>
  <si>
    <t>ID8</t>
  </si>
  <si>
    <t>InsDel9</t>
  </si>
  <si>
    <t>SP102617</t>
  </si>
  <si>
    <t>SP116520</t>
  </si>
  <si>
    <t>InD9b</t>
  </si>
  <si>
    <t>C_ID9</t>
  </si>
  <si>
    <t>InsDel10</t>
  </si>
  <si>
    <t>SP109957</t>
  </si>
  <si>
    <t>C_ID10</t>
  </si>
  <si>
    <t>ID10</t>
  </si>
  <si>
    <t>InsDel11</t>
  </si>
  <si>
    <t>SP77956</t>
  </si>
  <si>
    <t>C_ID11</t>
  </si>
  <si>
    <t>ID11</t>
  </si>
  <si>
    <t>ID11a</t>
  </si>
  <si>
    <t>InsDel12</t>
  </si>
  <si>
    <t>SP112947</t>
  </si>
  <si>
    <t>SP112985</t>
  </si>
  <si>
    <t>C_ID12</t>
  </si>
  <si>
    <t>ID12</t>
  </si>
  <si>
    <t>UV exposure</t>
  </si>
  <si>
    <t>InsDel13</t>
  </si>
  <si>
    <t>CPCT02060291T</t>
  </si>
  <si>
    <t>CPCT02050424T</t>
  </si>
  <si>
    <t>InD13*</t>
  </si>
  <si>
    <t>C_ID13</t>
  </si>
  <si>
    <t>ID13</t>
  </si>
  <si>
    <t>SBS93 associated, enriched in Gastric cancer</t>
  </si>
  <si>
    <t>High correlation with SBS93 in our analysis</t>
  </si>
  <si>
    <t>InsDel14</t>
  </si>
  <si>
    <t>CPCT02340014T</t>
  </si>
  <si>
    <t>CPCT02050104T</t>
  </si>
  <si>
    <t>InD12</t>
  </si>
  <si>
    <t>C_ID14</t>
  </si>
  <si>
    <t>ID14</t>
  </si>
  <si>
    <t>InsDel15</t>
  </si>
  <si>
    <t>WES::TCGA-EW-A2FV-01A-11D-A17D-09</t>
  </si>
  <si>
    <t>C_ID15</t>
  </si>
  <si>
    <t>ID15</t>
  </si>
  <si>
    <t>InsDel16</t>
  </si>
  <si>
    <t>WES::TCGA-13-0889-01A-01W-0420-08</t>
  </si>
  <si>
    <t>C_ID16</t>
  </si>
  <si>
    <t>ID16</t>
  </si>
  <si>
    <t>TOP2A pK743N</t>
  </si>
  <si>
    <t>InsDel17</t>
  </si>
  <si>
    <t>CPCT02250003T</t>
  </si>
  <si>
    <t>C_ID17</t>
  </si>
  <si>
    <t>ID17</t>
  </si>
  <si>
    <t>Colibactin</t>
  </si>
  <si>
    <t>InsDel18</t>
  </si>
  <si>
    <t>CPCT02070053T</t>
  </si>
  <si>
    <t>InD18</t>
  </si>
  <si>
    <t>C_ID18</t>
  </si>
  <si>
    <t>ID18</t>
  </si>
  <si>
    <t>InsDel19a</t>
  </si>
  <si>
    <t>CPCT02010408TII</t>
  </si>
  <si>
    <t>CPCT02080139T</t>
  </si>
  <si>
    <t>CPCT02010408T</t>
  </si>
  <si>
    <t>C_ID19</t>
  </si>
  <si>
    <t>InsDel19b</t>
  </si>
  <si>
    <t>CPCT02050192T</t>
  </si>
  <si>
    <t>CPCT02340081T</t>
  </si>
  <si>
    <t>AA exposure</t>
  </si>
  <si>
    <t>InsDel23</t>
  </si>
  <si>
    <t>SP102957</t>
  </si>
  <si>
    <t>C_ID23</t>
  </si>
  <si>
    <t>ID23</t>
  </si>
  <si>
    <t>InsDel_Aα</t>
  </si>
  <si>
    <t>CPCT02120078T</t>
  </si>
  <si>
    <t>SP2293</t>
  </si>
  <si>
    <t>ID_A</t>
  </si>
  <si>
    <t>APOBEC associated</t>
  </si>
  <si>
    <t>InsDel_Aβ</t>
  </si>
  <si>
    <t>InD9a</t>
  </si>
  <si>
    <t>InsDel_B</t>
  </si>
  <si>
    <t>CPCT02020413T</t>
  </si>
  <si>
    <t>SP116578</t>
  </si>
  <si>
    <t>ID_B</t>
  </si>
  <si>
    <t>InsDel_C</t>
  </si>
  <si>
    <t>CPCT02010772T</t>
  </si>
  <si>
    <t>InD13</t>
  </si>
  <si>
    <t>ID_C</t>
  </si>
  <si>
    <t>MSI (Insertions dominated)</t>
  </si>
  <si>
    <t>InsDel_D</t>
  </si>
  <si>
    <t>CPCT02100101T</t>
  </si>
  <si>
    <t>SP116834</t>
  </si>
  <si>
    <t>SP102133</t>
  </si>
  <si>
    <t>InD1</t>
  </si>
  <si>
    <t>ID_D</t>
  </si>
  <si>
    <t>InsDel_E</t>
  </si>
  <si>
    <t>DRUP01340014T</t>
  </si>
  <si>
    <t>DRUP01340015T</t>
  </si>
  <si>
    <t>ID_E</t>
  </si>
  <si>
    <t>TOP1 TAM</t>
  </si>
  <si>
    <t>Reijn's paper</t>
  </si>
  <si>
    <t>InsDel_F</t>
  </si>
  <si>
    <t>DRUP01030028T</t>
  </si>
  <si>
    <t>SP5559</t>
  </si>
  <si>
    <t>ID_F</t>
  </si>
  <si>
    <t>ID4</t>
  </si>
  <si>
    <t>Jin</t>
  </si>
  <si>
    <t>InsDel_G</t>
  </si>
  <si>
    <t>DRUP01030015T</t>
  </si>
  <si>
    <t>ID_G</t>
  </si>
  <si>
    <t>ID11b</t>
  </si>
  <si>
    <t>InsDel_H</t>
  </si>
  <si>
    <t>CPCT02010648T</t>
  </si>
  <si>
    <t>ID_H</t>
  </si>
  <si>
    <t>InsDel_I</t>
  </si>
  <si>
    <t>SP107439</t>
  </si>
  <si>
    <t>ID_I</t>
  </si>
  <si>
    <t>ID25</t>
  </si>
  <si>
    <t>InsDel_J</t>
  </si>
  <si>
    <t>SP112959</t>
  </si>
  <si>
    <t>ID_J</t>
  </si>
  <si>
    <t>POLE  + dMMR</t>
  </si>
  <si>
    <t>InsDel_K</t>
  </si>
  <si>
    <t>SP17905</t>
  </si>
  <si>
    <t>SP112257</t>
  </si>
  <si>
    <t>InD20</t>
  </si>
  <si>
    <t>ID_K</t>
  </si>
  <si>
    <t>ID26</t>
  </si>
  <si>
    <t>InsDel_L</t>
  </si>
  <si>
    <t>CPCT02450014T</t>
  </si>
  <si>
    <t>SP70106</t>
  </si>
  <si>
    <t>ID_L</t>
  </si>
  <si>
    <t>InsDel_M</t>
  </si>
  <si>
    <t>SP112777</t>
  </si>
  <si>
    <t>ID_M</t>
  </si>
  <si>
    <t>InsDel_Nα</t>
  </si>
  <si>
    <t>SP93227</t>
  </si>
  <si>
    <t>SP111038</t>
  </si>
  <si>
    <t>SP90209</t>
  </si>
  <si>
    <t>InD16b</t>
  </si>
  <si>
    <t>ID_N</t>
  </si>
  <si>
    <t>POLD1+dMMR</t>
  </si>
  <si>
    <t>InsDel_Nβ</t>
  </si>
  <si>
    <t>InD21</t>
  </si>
  <si>
    <t>we found 34 ID83: 13 novel sigs (16 if not considered Jin's paper)</t>
  </si>
  <si>
    <t>we found 44 ID89: 26 novel sigs</t>
  </si>
  <si>
    <t>we found 44 ID476: 44 novel sigs</t>
  </si>
  <si>
    <t>Intergenic (I) vs genic (G)</t>
  </si>
  <si>
    <t>Transcribed (T) vs non-transcribed (N) strand</t>
  </si>
  <si>
    <t>Leading vs lagging replication strand</t>
  </si>
  <si>
    <t>Replication timing trend from early (E) to late (L)</t>
  </si>
  <si>
    <t>I</t>
  </si>
  <si>
    <t>N</t>
  </si>
  <si>
    <t>Mix</t>
  </si>
  <si>
    <t>L</t>
  </si>
  <si>
    <t xml:space="preserve">T </t>
  </si>
  <si>
    <t>None</t>
  </si>
  <si>
    <t>G</t>
  </si>
  <si>
    <t>Lag</t>
  </si>
  <si>
    <t>E</t>
  </si>
  <si>
    <t>ND</t>
  </si>
  <si>
    <t xml:space="preserve">Lag </t>
  </si>
  <si>
    <t>T</t>
  </si>
  <si>
    <t>Lead</t>
  </si>
  <si>
    <t xml:space="preserve">Lead 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</si>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</sst>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TRUE&quot;;&quot;TRUE&quot;;&quot;FALSE&quot;"/>
    <numFmt numFmtId="177" formatCode="0.00000"/>
  </numFmts>
  <fonts count="8" x14ac:knownFonts="1">
    <font>
      <sz val="11"/>
      <color theme="1"/>
      <name val="等线"/>
      <family val="2"/>
      <charset val="134"/>
    </font>
    <font>
      <sz val="11"/>
      <color theme="1"/>
      <name val="HarmonyOS Sans SC"/>
      <family val="3"/>
      <charset val="134"/>
    </font>
    <font>
      <b/>
      <sz val="9.6"/>
      <color rgb="FF212529"/>
      <name val="HarmonyOS Sans SC"/>
      <family val="3"/>
      <charset val="134"/>
    </font>
    <font>
      <sz val="9.6"/>
      <color rgb="FF212529"/>
      <name val="HarmonyOS Sans SC"/>
      <family val="3"/>
      <charset val="134"/>
    </font>
    <font>
      <sz val="9.6"/>
      <color rgb="FFB0B0B0"/>
      <name val="HarmonyOS Sans SC"/>
      <family val="3"/>
      <charset val="134"/>
    </font>
    <font>
      <b/>
      <sz val="11"/>
      <color theme="1"/>
      <name val="Arial"/>
      <family val="2"/>
    </font>
    <font>
      <sz val="9"/>
      <name val="等线"/>
      <family val="2"/>
      <charset val="134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theme="9" tint="0.59987182226020086"/>
        <bgColor rgb="FFD4EA6B"/>
      </patternFill>
    </fill>
    <fill>
      <patternFill patternType="solid">
        <fgColor rgb="FFD4EA6B"/>
        <bgColor rgb="FFC5E0B4"/>
      </patternFill>
    </fill>
    <fill>
      <patternFill patternType="solid">
        <fgColor theme="7" tint="0.79989013336588644"/>
        <bgColor rgb="FFFFFFFF"/>
      </patternFill>
    </fill>
  </fills>
  <borders count="4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>
      <alignment vertical="center"/>
    </xf>
    <xf numFmtId="0" fontId="3" fillId="2" borderId="0" xfId="0" applyFont="1" applyFill="1" applyAlignment="1">
      <alignment horizontal="center" vertical="center" wrapText="1"/>
    </xf>
    <xf numFmtId="176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177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2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F1" sqref="F1:I1048576"/>
    </sheetView>
  </sheetViews>
  <sheetFormatPr defaultColWidth="9.06640625" defaultRowHeight="15.75" x14ac:dyDescent="0.4"/>
  <cols>
    <col min="1" max="1" width="17.265625" style="1" customWidth="1"/>
    <col min="2" max="2" width="18.33203125" style="1" customWidth="1"/>
    <col min="3" max="3" width="44.46484375" style="1" customWidth="1"/>
    <col min="4" max="4" width="61.53125" style="1" customWidth="1"/>
    <col min="5" max="5" width="10.73046875" style="1" customWidth="1"/>
    <col min="6" max="9" width="9" style="1"/>
    <col min="10" max="10" width="19.86328125" style="1" customWidth="1"/>
    <col min="11" max="16384" width="9.06640625" style="1"/>
  </cols>
  <sheetData>
    <row r="1" spans="1:27" ht="98.25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0" t="s">
        <v>257</v>
      </c>
      <c r="G1" s="10" t="s">
        <v>258</v>
      </c>
      <c r="H1" s="10" t="s">
        <v>259</v>
      </c>
      <c r="I1" s="10" t="s">
        <v>260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</row>
    <row r="2" spans="1:27" ht="26.25" customHeight="1" x14ac:dyDescent="0.4">
      <c r="A2" s="1" t="s">
        <v>23</v>
      </c>
      <c r="B2" s="3" t="s">
        <v>24</v>
      </c>
      <c r="C2" s="1" t="s">
        <v>25</v>
      </c>
      <c r="D2" s="1" t="s">
        <v>26</v>
      </c>
      <c r="E2" t="s">
        <v>27</v>
      </c>
      <c r="F2" s="11" t="s">
        <v>261</v>
      </c>
      <c r="G2" s="11" t="s">
        <v>262</v>
      </c>
      <c r="H2" s="11" t="s">
        <v>263</v>
      </c>
      <c r="I2" s="11" t="s">
        <v>263</v>
      </c>
      <c r="J2" s="4">
        <v>0.99229999999999996</v>
      </c>
      <c r="K2" s="4" t="s">
        <v>28</v>
      </c>
      <c r="L2" s="4" t="s">
        <v>29</v>
      </c>
      <c r="M2" s="4" t="s">
        <v>28</v>
      </c>
      <c r="N2" s="4">
        <v>0.98309999999999997</v>
      </c>
      <c r="O2" s="5" t="b">
        <f t="shared" ref="O2:O45" si="0">N2&gt;0.95</f>
        <v>1</v>
      </c>
      <c r="P2" s="4" t="b">
        <f t="shared" ref="P2:P45" si="1">N2&gt;0.9</f>
        <v>1</v>
      </c>
      <c r="Q2" s="6" t="s">
        <v>30</v>
      </c>
      <c r="R2" s="6">
        <v>0.90229999999999999</v>
      </c>
      <c r="S2" s="4">
        <v>0.97709999999999997</v>
      </c>
      <c r="T2" s="4">
        <v>0.97709999999999997</v>
      </c>
      <c r="U2" s="4" t="s">
        <v>31</v>
      </c>
      <c r="V2" s="4">
        <v>0.99860000000000004</v>
      </c>
      <c r="W2" s="4">
        <v>0.99580000000000002</v>
      </c>
      <c r="X2" s="4" t="s">
        <v>32</v>
      </c>
      <c r="Y2" s="4">
        <v>0.98450000000000004</v>
      </c>
      <c r="Z2" s="4" t="s">
        <v>33</v>
      </c>
      <c r="AA2" s="4">
        <v>0.9849</v>
      </c>
    </row>
    <row r="3" spans="1:27" ht="26.25" customHeight="1" x14ac:dyDescent="0.4">
      <c r="A3" s="1" t="s">
        <v>23</v>
      </c>
      <c r="B3" s="1" t="s">
        <v>34</v>
      </c>
      <c r="C3" s="1" t="s">
        <v>35</v>
      </c>
      <c r="D3" s="1" t="s">
        <v>36</v>
      </c>
      <c r="E3" t="s">
        <v>37</v>
      </c>
      <c r="F3" s="12"/>
      <c r="G3" s="12"/>
      <c r="H3" s="12"/>
      <c r="I3" s="12"/>
      <c r="J3" s="4">
        <v>0.99250000000000005</v>
      </c>
      <c r="K3" s="4" t="s">
        <v>38</v>
      </c>
      <c r="L3" s="4" t="s">
        <v>29</v>
      </c>
      <c r="M3" s="4" t="s">
        <v>39</v>
      </c>
      <c r="N3" s="4">
        <v>0.98499999999999999</v>
      </c>
      <c r="O3" s="4" t="b">
        <f t="shared" si="0"/>
        <v>1</v>
      </c>
      <c r="P3" s="4" t="b">
        <f t="shared" si="1"/>
        <v>1</v>
      </c>
      <c r="Q3" s="4" t="s">
        <v>40</v>
      </c>
      <c r="R3" s="4">
        <v>0.97960000000000003</v>
      </c>
      <c r="S3" s="4">
        <v>0.97140000000000004</v>
      </c>
      <c r="T3" s="4">
        <v>0.97009999999999996</v>
      </c>
      <c r="U3" s="4" t="s">
        <v>31</v>
      </c>
      <c r="V3" s="4">
        <v>0.99860000000000004</v>
      </c>
      <c r="W3" s="4">
        <v>0.98470000000000002</v>
      </c>
      <c r="X3" s="4" t="s">
        <v>32</v>
      </c>
      <c r="Y3" s="4">
        <v>0.98450000000000004</v>
      </c>
      <c r="Z3" s="6" t="s">
        <v>32</v>
      </c>
      <c r="AA3" s="6">
        <v>0.9849</v>
      </c>
    </row>
    <row r="4" spans="1:27" ht="26.25" customHeight="1" x14ac:dyDescent="0.4">
      <c r="A4" s="1" t="s">
        <v>23</v>
      </c>
      <c r="B4" s="1" t="s">
        <v>34</v>
      </c>
      <c r="C4" s="1" t="s">
        <v>41</v>
      </c>
      <c r="D4" s="1" t="s">
        <v>36</v>
      </c>
      <c r="E4" t="s">
        <v>42</v>
      </c>
      <c r="F4" s="13"/>
      <c r="G4" s="13"/>
      <c r="H4" s="13"/>
      <c r="I4" s="13"/>
      <c r="J4" s="4">
        <v>0.9819</v>
      </c>
      <c r="K4" s="4" t="s">
        <v>43</v>
      </c>
      <c r="L4" s="4" t="s">
        <v>29</v>
      </c>
      <c r="M4" s="4" t="s">
        <v>44</v>
      </c>
      <c r="N4" s="4">
        <v>0.96750000000000003</v>
      </c>
      <c r="O4" s="4" t="b">
        <f t="shared" si="0"/>
        <v>1</v>
      </c>
      <c r="P4" s="4" t="b">
        <f t="shared" si="1"/>
        <v>1</v>
      </c>
      <c r="Q4" s="4" t="s">
        <v>45</v>
      </c>
      <c r="R4" s="4">
        <v>0.9415</v>
      </c>
      <c r="S4" s="4">
        <v>0.90820000000000001</v>
      </c>
      <c r="T4" s="4">
        <v>0.90090000000000003</v>
      </c>
      <c r="U4" s="4" t="s">
        <v>31</v>
      </c>
      <c r="V4" s="4">
        <v>0.99860000000000004</v>
      </c>
      <c r="W4" s="4">
        <v>0.99150000000000005</v>
      </c>
      <c r="X4" s="4" t="s">
        <v>32</v>
      </c>
      <c r="Y4" s="4">
        <v>0.98450000000000004</v>
      </c>
      <c r="Z4" s="6" t="s">
        <v>32</v>
      </c>
      <c r="AA4" s="6">
        <v>0.9849</v>
      </c>
    </row>
    <row r="5" spans="1:27" ht="26.25" customHeight="1" x14ac:dyDescent="0.4">
      <c r="A5" s="1" t="s">
        <v>23</v>
      </c>
      <c r="B5" s="1" t="s">
        <v>34</v>
      </c>
      <c r="C5" s="1" t="s">
        <v>46</v>
      </c>
      <c r="D5" s="1" t="s">
        <v>36</v>
      </c>
      <c r="E5" t="s">
        <v>47</v>
      </c>
      <c r="F5" s="11" t="s">
        <v>263</v>
      </c>
      <c r="G5" s="11" t="s">
        <v>263</v>
      </c>
      <c r="H5" s="11" t="s">
        <v>263</v>
      </c>
      <c r="I5" s="11" t="s">
        <v>264</v>
      </c>
      <c r="J5" s="4">
        <v>0.98529999999999995</v>
      </c>
      <c r="K5" s="4" t="s">
        <v>48</v>
      </c>
      <c r="L5" s="4" t="s">
        <v>49</v>
      </c>
      <c r="M5" s="4" t="s">
        <v>50</v>
      </c>
      <c r="N5" s="4">
        <v>0.97099999999999997</v>
      </c>
      <c r="O5" s="4" t="b">
        <f t="shared" si="0"/>
        <v>1</v>
      </c>
      <c r="P5" s="4" t="b">
        <f t="shared" si="1"/>
        <v>1</v>
      </c>
      <c r="Q5" s="4" t="s">
        <v>51</v>
      </c>
      <c r="R5" s="4">
        <v>0.98240000000000005</v>
      </c>
      <c r="S5" s="4">
        <v>0.98019999999999996</v>
      </c>
      <c r="T5" s="4">
        <v>0.97260000000000002</v>
      </c>
      <c r="U5" s="4" t="s">
        <v>52</v>
      </c>
      <c r="V5" s="4">
        <v>0.99960000000000004</v>
      </c>
      <c r="W5" s="4">
        <v>0.99860000000000004</v>
      </c>
      <c r="X5" s="4" t="s">
        <v>53</v>
      </c>
      <c r="Y5" s="4">
        <v>0.97989999999999999</v>
      </c>
      <c r="Z5" s="4" t="s">
        <v>54</v>
      </c>
      <c r="AA5" s="4">
        <v>0.99319999999999997</v>
      </c>
    </row>
    <row r="6" spans="1:27" ht="26.25" customHeight="1" x14ac:dyDescent="0.4">
      <c r="A6" s="1" t="s">
        <v>23</v>
      </c>
      <c r="B6" s="3" t="s">
        <v>24</v>
      </c>
      <c r="C6" s="1" t="s">
        <v>55</v>
      </c>
      <c r="D6" s="7" t="s">
        <v>56</v>
      </c>
      <c r="E6" t="s">
        <v>57</v>
      </c>
      <c r="F6" s="12"/>
      <c r="G6" s="12"/>
      <c r="H6" s="12"/>
      <c r="I6" s="12"/>
      <c r="J6" s="4">
        <v>0.98580000000000001</v>
      </c>
      <c r="K6" s="4" t="s">
        <v>58</v>
      </c>
      <c r="L6" s="4" t="s">
        <v>49</v>
      </c>
      <c r="M6" s="4" t="s">
        <v>58</v>
      </c>
      <c r="N6" s="4">
        <v>0.96450000000000002</v>
      </c>
      <c r="O6" s="4" t="b">
        <f t="shared" si="0"/>
        <v>1</v>
      </c>
      <c r="P6" s="4" t="b">
        <f t="shared" si="1"/>
        <v>1</v>
      </c>
      <c r="Q6" s="4" t="s">
        <v>59</v>
      </c>
      <c r="R6" s="4" t="s">
        <v>59</v>
      </c>
      <c r="S6" s="4">
        <v>0.96589999999999998</v>
      </c>
      <c r="T6" s="4">
        <v>0.96589999999999998</v>
      </c>
      <c r="U6" s="4" t="s">
        <v>52</v>
      </c>
      <c r="V6" s="4">
        <v>0.99960000000000004</v>
      </c>
      <c r="W6" s="4">
        <v>0.98570000000000002</v>
      </c>
      <c r="X6" s="4" t="s">
        <v>53</v>
      </c>
      <c r="Y6" s="4">
        <v>0.97989999999999999</v>
      </c>
      <c r="Z6" s="6" t="s">
        <v>53</v>
      </c>
      <c r="AA6" s="6">
        <v>0.99319999999999997</v>
      </c>
    </row>
    <row r="7" spans="1:27" ht="26.25" customHeight="1" x14ac:dyDescent="0.4">
      <c r="A7" s="1" t="s">
        <v>23</v>
      </c>
      <c r="B7" s="3" t="s">
        <v>24</v>
      </c>
      <c r="C7" s="1" t="s">
        <v>55</v>
      </c>
      <c r="D7" s="7" t="s">
        <v>56</v>
      </c>
      <c r="E7" t="s">
        <v>60</v>
      </c>
      <c r="F7" s="13"/>
      <c r="G7" s="13"/>
      <c r="H7" s="13"/>
      <c r="I7" s="13"/>
      <c r="J7" s="4">
        <v>0.98419999999999996</v>
      </c>
      <c r="K7" s="4" t="s">
        <v>61</v>
      </c>
      <c r="L7" s="4" t="s">
        <v>49</v>
      </c>
      <c r="M7" s="4" t="s">
        <v>61</v>
      </c>
      <c r="N7" s="4">
        <v>0.97440000000000004</v>
      </c>
      <c r="O7" s="4" t="b">
        <f t="shared" si="0"/>
        <v>1</v>
      </c>
      <c r="P7" s="4" t="b">
        <f t="shared" si="1"/>
        <v>1</v>
      </c>
      <c r="Q7" s="4" t="s">
        <v>59</v>
      </c>
      <c r="R7" s="4" t="s">
        <v>59</v>
      </c>
      <c r="S7" s="4">
        <v>0.98550000000000004</v>
      </c>
      <c r="T7" s="4">
        <v>0.98550000000000004</v>
      </c>
      <c r="U7" s="4" t="s">
        <v>52</v>
      </c>
      <c r="V7" s="4">
        <v>0.99960000000000004</v>
      </c>
      <c r="W7" s="4">
        <v>0.99029999999999996</v>
      </c>
      <c r="X7" s="4" t="s">
        <v>53</v>
      </c>
      <c r="Y7" s="4">
        <v>0.97989999999999999</v>
      </c>
      <c r="Z7" s="6" t="s">
        <v>53</v>
      </c>
      <c r="AA7" s="6">
        <v>0.99319999999999997</v>
      </c>
    </row>
    <row r="8" spans="1:27" ht="26.25" customHeight="1" x14ac:dyDescent="0.4">
      <c r="A8" s="1" t="s">
        <v>23</v>
      </c>
      <c r="B8" s="3" t="s">
        <v>24</v>
      </c>
      <c r="C8" s="1" t="s">
        <v>62</v>
      </c>
      <c r="D8" s="1" t="s">
        <v>63</v>
      </c>
      <c r="E8" t="s">
        <v>64</v>
      </c>
      <c r="F8" s="11" t="s">
        <v>261</v>
      </c>
      <c r="G8" s="11" t="s">
        <v>265</v>
      </c>
      <c r="H8" s="11" t="s">
        <v>266</v>
      </c>
      <c r="I8" s="11" t="s">
        <v>264</v>
      </c>
      <c r="J8" s="4">
        <v>0.95150000000000001</v>
      </c>
      <c r="K8" s="4" t="s">
        <v>65</v>
      </c>
      <c r="L8" s="4" t="s">
        <v>66</v>
      </c>
      <c r="M8" s="4" t="s">
        <v>67</v>
      </c>
      <c r="N8" s="4">
        <v>0.9738</v>
      </c>
      <c r="O8" s="4" t="b">
        <f t="shared" si="0"/>
        <v>1</v>
      </c>
      <c r="P8" s="4" t="b">
        <f t="shared" si="1"/>
        <v>1</v>
      </c>
      <c r="Q8" s="4" t="s">
        <v>59</v>
      </c>
      <c r="R8" s="4" t="s">
        <v>59</v>
      </c>
      <c r="S8" s="4">
        <v>0.93959999999999999</v>
      </c>
      <c r="T8" s="4">
        <v>0.80449999999999999</v>
      </c>
      <c r="U8" s="4" t="s">
        <v>68</v>
      </c>
      <c r="V8" s="4">
        <v>0.99729999999999996</v>
      </c>
      <c r="W8" s="4">
        <v>0.8478</v>
      </c>
      <c r="X8" s="4" t="s">
        <v>69</v>
      </c>
      <c r="Y8" s="4">
        <v>0.98570000000000002</v>
      </c>
      <c r="Z8" s="4" t="s">
        <v>70</v>
      </c>
      <c r="AA8" s="4">
        <v>0.94030000000000002</v>
      </c>
    </row>
    <row r="9" spans="1:27" ht="26.25" customHeight="1" x14ac:dyDescent="0.4">
      <c r="A9" s="1" t="s">
        <v>23</v>
      </c>
      <c r="B9" s="1" t="s">
        <v>34</v>
      </c>
      <c r="C9" s="1" t="s">
        <v>71</v>
      </c>
      <c r="D9" s="1" t="s">
        <v>72</v>
      </c>
      <c r="E9" t="s">
        <v>73</v>
      </c>
      <c r="F9" s="13"/>
      <c r="G9" s="13"/>
      <c r="H9" s="13"/>
      <c r="I9" s="13"/>
      <c r="J9" s="4">
        <v>0.997</v>
      </c>
      <c r="K9" s="4" t="s">
        <v>74</v>
      </c>
      <c r="L9" s="4" t="s">
        <v>66</v>
      </c>
      <c r="M9" s="4" t="s">
        <v>66</v>
      </c>
      <c r="N9" s="4">
        <v>0.99519999999999997</v>
      </c>
      <c r="O9" s="4" t="b">
        <f t="shared" si="0"/>
        <v>1</v>
      </c>
      <c r="P9" s="4" t="b">
        <f t="shared" si="1"/>
        <v>1</v>
      </c>
      <c r="Q9" s="4" t="s">
        <v>75</v>
      </c>
      <c r="R9" s="4">
        <v>0.95269999999999999</v>
      </c>
      <c r="S9" s="4">
        <v>0.99250000000000005</v>
      </c>
      <c r="T9" s="4">
        <v>0.98370000000000002</v>
      </c>
      <c r="U9" s="4" t="s">
        <v>68</v>
      </c>
      <c r="V9" s="4">
        <v>0.99729999999999996</v>
      </c>
      <c r="W9" s="4">
        <v>0.99709999999999999</v>
      </c>
      <c r="X9" s="4" t="s">
        <v>69</v>
      </c>
      <c r="Y9" s="4">
        <v>0.98570000000000002</v>
      </c>
      <c r="Z9" s="6" t="s">
        <v>69</v>
      </c>
      <c r="AA9" s="6">
        <v>0.94030000000000002</v>
      </c>
    </row>
    <row r="10" spans="1:27" ht="26.25" customHeight="1" x14ac:dyDescent="0.4">
      <c r="A10" s="1" t="s">
        <v>76</v>
      </c>
      <c r="B10" s="1" t="s">
        <v>34</v>
      </c>
      <c r="E10" t="s">
        <v>77</v>
      </c>
      <c r="F10" s="14" t="s">
        <v>267</v>
      </c>
      <c r="G10" s="14" t="s">
        <v>262</v>
      </c>
      <c r="H10" s="14" t="s">
        <v>266</v>
      </c>
      <c r="I10" s="14" t="s">
        <v>263</v>
      </c>
      <c r="J10" s="4">
        <v>0.99550000000000005</v>
      </c>
      <c r="K10" s="4" t="s">
        <v>78</v>
      </c>
      <c r="L10" s="4" t="s">
        <v>79</v>
      </c>
      <c r="M10" s="4" t="s">
        <v>79</v>
      </c>
      <c r="N10" s="4">
        <v>0.98450000000000004</v>
      </c>
      <c r="O10" s="4" t="b">
        <f t="shared" si="0"/>
        <v>1</v>
      </c>
      <c r="P10" s="4" t="b">
        <f t="shared" si="1"/>
        <v>1</v>
      </c>
      <c r="Q10" s="4" t="s">
        <v>80</v>
      </c>
      <c r="R10" s="4">
        <v>0.98199999999999998</v>
      </c>
      <c r="S10" s="4">
        <v>0.95140000000000002</v>
      </c>
      <c r="T10" s="4">
        <v>0.94420000000000004</v>
      </c>
      <c r="U10" s="4" t="s">
        <v>81</v>
      </c>
      <c r="V10" s="4">
        <v>0.98560000000000003</v>
      </c>
      <c r="W10" s="4">
        <v>0.97619999999999996</v>
      </c>
      <c r="X10" s="4" t="s">
        <v>59</v>
      </c>
      <c r="Y10" s="4" t="s">
        <v>59</v>
      </c>
      <c r="Z10" s="4" t="s">
        <v>59</v>
      </c>
      <c r="AA10" s="4" t="s">
        <v>59</v>
      </c>
    </row>
    <row r="11" spans="1:27" ht="26.25" customHeight="1" x14ac:dyDescent="0.4">
      <c r="A11" s="1" t="s">
        <v>82</v>
      </c>
      <c r="B11" s="1" t="s">
        <v>34</v>
      </c>
      <c r="C11" s="1" t="s">
        <v>83</v>
      </c>
      <c r="D11" s="1" t="s">
        <v>84</v>
      </c>
      <c r="E11" t="s">
        <v>85</v>
      </c>
      <c r="F11" s="11" t="s">
        <v>263</v>
      </c>
      <c r="G11" s="11" t="s">
        <v>262</v>
      </c>
      <c r="H11" s="11" t="s">
        <v>268</v>
      </c>
      <c r="I11" s="11" t="s">
        <v>263</v>
      </c>
      <c r="J11" s="4">
        <v>0.99829999999999997</v>
      </c>
      <c r="K11" s="4" t="s">
        <v>86</v>
      </c>
      <c r="L11" s="4" t="s">
        <v>87</v>
      </c>
      <c r="M11" s="4" t="s">
        <v>86</v>
      </c>
      <c r="N11" s="4">
        <v>0.99080000000000001</v>
      </c>
      <c r="O11" s="4" t="b">
        <f t="shared" si="0"/>
        <v>1</v>
      </c>
      <c r="P11" s="4" t="b">
        <f t="shared" si="1"/>
        <v>1</v>
      </c>
      <c r="Q11" s="4" t="s">
        <v>88</v>
      </c>
      <c r="R11" s="4">
        <v>0.94879999999999998</v>
      </c>
      <c r="S11" s="4">
        <v>0.9718</v>
      </c>
      <c r="T11" s="4">
        <v>0.9718</v>
      </c>
      <c r="U11" s="4" t="s">
        <v>89</v>
      </c>
      <c r="V11" s="4">
        <v>0.99480000000000002</v>
      </c>
      <c r="W11" s="4">
        <v>0.99099999999999999</v>
      </c>
      <c r="X11" s="4" t="s">
        <v>90</v>
      </c>
      <c r="Y11" s="4">
        <v>0.90869999999999995</v>
      </c>
      <c r="Z11" s="4" t="s">
        <v>59</v>
      </c>
      <c r="AA11" s="4" t="s">
        <v>59</v>
      </c>
    </row>
    <row r="12" spans="1:27" ht="26.25" customHeight="1" x14ac:dyDescent="0.4">
      <c r="A12" s="1" t="s">
        <v>82</v>
      </c>
      <c r="B12" s="3" t="s">
        <v>24</v>
      </c>
      <c r="C12" s="1" t="s">
        <v>91</v>
      </c>
      <c r="D12" s="1" t="s">
        <v>84</v>
      </c>
      <c r="E12" t="s">
        <v>92</v>
      </c>
      <c r="F12" s="12"/>
      <c r="G12" s="12"/>
      <c r="H12" s="12"/>
      <c r="I12" s="12"/>
      <c r="J12" s="4">
        <v>0.99529999999999996</v>
      </c>
      <c r="K12" s="4" t="s">
        <v>93</v>
      </c>
      <c r="L12" s="4" t="s">
        <v>87</v>
      </c>
      <c r="M12" s="4" t="s">
        <v>93</v>
      </c>
      <c r="N12" s="4">
        <v>0.98260000000000003</v>
      </c>
      <c r="O12" s="4" t="b">
        <f t="shared" si="0"/>
        <v>1</v>
      </c>
      <c r="P12" s="4" t="b">
        <f t="shared" si="1"/>
        <v>1</v>
      </c>
      <c r="Q12" s="4" t="s">
        <v>59</v>
      </c>
      <c r="R12" s="4" t="s">
        <v>59</v>
      </c>
      <c r="S12" s="4">
        <v>0.94450000000000001</v>
      </c>
      <c r="T12" s="4">
        <v>0.94450000000000001</v>
      </c>
      <c r="U12" s="4" t="s">
        <v>89</v>
      </c>
      <c r="V12" s="4">
        <v>0.99480000000000002</v>
      </c>
      <c r="W12" s="4">
        <v>0.71099999999999997</v>
      </c>
      <c r="X12" s="4" t="s">
        <v>90</v>
      </c>
      <c r="Y12" s="4">
        <v>0.90869999999999995</v>
      </c>
      <c r="Z12" s="4" t="s">
        <v>59</v>
      </c>
      <c r="AA12" s="4" t="s">
        <v>59</v>
      </c>
    </row>
    <row r="13" spans="1:27" ht="26.25" customHeight="1" x14ac:dyDescent="0.4">
      <c r="A13" s="1" t="s">
        <v>82</v>
      </c>
      <c r="B13" s="3" t="s">
        <v>24</v>
      </c>
      <c r="E13" t="s">
        <v>94</v>
      </c>
      <c r="F13" s="12"/>
      <c r="G13" s="12"/>
      <c r="H13" s="12"/>
      <c r="I13" s="12"/>
      <c r="J13" s="4">
        <v>0.95750000000000002</v>
      </c>
      <c r="K13" s="4" t="s">
        <v>95</v>
      </c>
      <c r="L13" s="4" t="s">
        <v>87</v>
      </c>
      <c r="M13" s="4" t="s">
        <v>96</v>
      </c>
      <c r="N13" s="4">
        <v>0.93440000000000001</v>
      </c>
      <c r="O13" s="4" t="b">
        <f t="shared" si="0"/>
        <v>0</v>
      </c>
      <c r="P13" s="4" t="b">
        <f t="shared" si="1"/>
        <v>1</v>
      </c>
      <c r="Q13" s="4" t="s">
        <v>59</v>
      </c>
      <c r="R13" s="4" t="s">
        <v>59</v>
      </c>
      <c r="S13" s="4">
        <v>0.90780000000000005</v>
      </c>
      <c r="T13" s="4">
        <v>0.84730000000000005</v>
      </c>
      <c r="U13" s="4" t="s">
        <v>89</v>
      </c>
      <c r="V13" s="4">
        <v>0.99480000000000002</v>
      </c>
      <c r="W13" s="4">
        <v>0.54249999999999998</v>
      </c>
      <c r="X13" s="4" t="s">
        <v>90</v>
      </c>
      <c r="Y13" s="4">
        <v>0.90869999999999995</v>
      </c>
      <c r="Z13" s="4" t="s">
        <v>59</v>
      </c>
      <c r="AA13" s="4" t="s">
        <v>59</v>
      </c>
    </row>
    <row r="14" spans="1:27" ht="26.25" customHeight="1" x14ac:dyDescent="0.4">
      <c r="A14" s="1" t="s">
        <v>23</v>
      </c>
      <c r="B14" s="1" t="s">
        <v>34</v>
      </c>
      <c r="C14" s="1" t="s">
        <v>97</v>
      </c>
      <c r="D14" s="1" t="s">
        <v>72</v>
      </c>
      <c r="E14" t="s">
        <v>98</v>
      </c>
      <c r="F14" s="14" t="s">
        <v>261</v>
      </c>
      <c r="G14" s="14" t="s">
        <v>266</v>
      </c>
      <c r="H14" s="14" t="s">
        <v>266</v>
      </c>
      <c r="I14" s="14" t="s">
        <v>264</v>
      </c>
      <c r="J14" s="4">
        <v>0.99809999999999999</v>
      </c>
      <c r="K14" s="4" t="s">
        <v>99</v>
      </c>
      <c r="L14" s="4" t="s">
        <v>100</v>
      </c>
      <c r="M14" s="4" t="s">
        <v>100</v>
      </c>
      <c r="N14" s="4">
        <v>0.99490000000000001</v>
      </c>
      <c r="O14" s="4" t="b">
        <f t="shared" si="0"/>
        <v>1</v>
      </c>
      <c r="P14" s="4" t="b">
        <f t="shared" si="1"/>
        <v>1</v>
      </c>
      <c r="Q14" s="4" t="s">
        <v>101</v>
      </c>
      <c r="R14" s="4">
        <v>0.97450000000000003</v>
      </c>
      <c r="S14" s="4">
        <v>0.99390000000000001</v>
      </c>
      <c r="T14" s="4">
        <v>0.99150000000000005</v>
      </c>
      <c r="U14" s="4" t="s">
        <v>102</v>
      </c>
      <c r="V14" s="4">
        <v>0.99529999999999996</v>
      </c>
      <c r="W14" s="4">
        <v>0.99250000000000005</v>
      </c>
      <c r="X14" s="4" t="s">
        <v>103</v>
      </c>
      <c r="Y14" s="4">
        <v>0.95740000000000003</v>
      </c>
      <c r="Z14" s="4" t="s">
        <v>103</v>
      </c>
      <c r="AA14" s="4">
        <v>0.91559999999999997</v>
      </c>
    </row>
    <row r="15" spans="1:27" ht="26.25" customHeight="1" x14ac:dyDescent="0.4">
      <c r="A15" s="1" t="s">
        <v>82</v>
      </c>
      <c r="B15" s="1" t="s">
        <v>34</v>
      </c>
      <c r="C15" s="1" t="s">
        <v>55</v>
      </c>
      <c r="D15" s="7" t="s">
        <v>104</v>
      </c>
      <c r="E15" t="s">
        <v>105</v>
      </c>
      <c r="F15" s="14" t="s">
        <v>263</v>
      </c>
      <c r="G15" s="14" t="s">
        <v>265</v>
      </c>
      <c r="H15" s="14" t="s">
        <v>266</v>
      </c>
      <c r="I15" s="14" t="s">
        <v>263</v>
      </c>
      <c r="J15" s="4">
        <v>0.99770000000000003</v>
      </c>
      <c r="K15" s="4" t="s">
        <v>106</v>
      </c>
      <c r="L15" s="4" t="s">
        <v>107</v>
      </c>
      <c r="M15" s="4" t="s">
        <v>106</v>
      </c>
      <c r="N15" s="4">
        <v>0.99670000000000003</v>
      </c>
      <c r="O15" s="4" t="b">
        <f t="shared" si="0"/>
        <v>1</v>
      </c>
      <c r="P15" s="4" t="b">
        <f t="shared" si="1"/>
        <v>1</v>
      </c>
      <c r="Q15" s="4" t="s">
        <v>108</v>
      </c>
      <c r="R15" s="4">
        <v>0.97970000000000002</v>
      </c>
      <c r="S15" s="4">
        <v>0.99519999999999997</v>
      </c>
      <c r="T15" s="4">
        <v>0.99519999999999997</v>
      </c>
      <c r="U15" s="4" t="s">
        <v>109</v>
      </c>
      <c r="V15" s="4">
        <v>0.48080000000000001</v>
      </c>
      <c r="W15" s="4">
        <v>0.8306</v>
      </c>
      <c r="X15" s="4" t="s">
        <v>110</v>
      </c>
      <c r="Y15" s="4">
        <v>0.95469999999999999</v>
      </c>
      <c r="Z15" s="4" t="s">
        <v>59</v>
      </c>
      <c r="AA15" s="4" t="s">
        <v>59</v>
      </c>
    </row>
    <row r="16" spans="1:27" ht="26.25" customHeight="1" x14ac:dyDescent="0.4">
      <c r="A16" s="1" t="s">
        <v>23</v>
      </c>
      <c r="B16" s="1" t="s">
        <v>34</v>
      </c>
      <c r="C16" s="1" t="s">
        <v>111</v>
      </c>
      <c r="D16" s="1" t="s">
        <v>72</v>
      </c>
      <c r="E16" t="s">
        <v>112</v>
      </c>
      <c r="F16" s="14" t="s">
        <v>267</v>
      </c>
      <c r="G16" s="14" t="s">
        <v>266</v>
      </c>
      <c r="H16" s="14" t="s">
        <v>268</v>
      </c>
      <c r="I16" s="14" t="s">
        <v>263</v>
      </c>
      <c r="J16" s="4">
        <v>0.99419999999999997</v>
      </c>
      <c r="K16" s="4" t="s">
        <v>113</v>
      </c>
      <c r="L16" s="4" t="s">
        <v>113</v>
      </c>
      <c r="M16" s="4" t="s">
        <v>113</v>
      </c>
      <c r="N16" s="4">
        <v>0.99139999999999995</v>
      </c>
      <c r="O16" s="4" t="b">
        <f t="shared" si="0"/>
        <v>1</v>
      </c>
      <c r="P16" s="4" t="b">
        <f t="shared" si="1"/>
        <v>1</v>
      </c>
      <c r="Q16" s="4" t="s">
        <v>114</v>
      </c>
      <c r="R16" s="4">
        <v>0.98119999999999996</v>
      </c>
      <c r="S16" s="4">
        <v>0.99790000000000001</v>
      </c>
      <c r="T16" s="4">
        <v>0.99790000000000001</v>
      </c>
      <c r="U16" s="4" t="s">
        <v>115</v>
      </c>
      <c r="V16" s="4">
        <v>0.97019999999999995</v>
      </c>
      <c r="W16" s="4">
        <v>0.97019999999999995</v>
      </c>
      <c r="X16" s="4" t="s">
        <v>116</v>
      </c>
      <c r="Y16" s="4">
        <v>0.98839999999999995</v>
      </c>
      <c r="Z16" s="4" t="s">
        <v>116</v>
      </c>
      <c r="AA16" s="4">
        <v>0.96830000000000005</v>
      </c>
    </row>
    <row r="17" spans="1:27" ht="26.25" customHeight="1" x14ac:dyDescent="0.4">
      <c r="A17" s="1" t="s">
        <v>82</v>
      </c>
      <c r="B17" s="1" t="s">
        <v>34</v>
      </c>
      <c r="E17" t="s">
        <v>117</v>
      </c>
      <c r="F17" s="14" t="s">
        <v>261</v>
      </c>
      <c r="G17" s="14" t="s">
        <v>265</v>
      </c>
      <c r="H17" s="14" t="s">
        <v>266</v>
      </c>
      <c r="I17" s="14" t="s">
        <v>263</v>
      </c>
      <c r="J17" s="4">
        <v>0.99919999999999998</v>
      </c>
      <c r="K17" s="4" t="s">
        <v>118</v>
      </c>
      <c r="L17" s="4" t="s">
        <v>118</v>
      </c>
      <c r="M17" s="4" t="s">
        <v>119</v>
      </c>
      <c r="N17" s="4">
        <v>0.92589999999999995</v>
      </c>
      <c r="O17" s="4" t="b">
        <f t="shared" si="0"/>
        <v>0</v>
      </c>
      <c r="P17" s="4" t="b">
        <f t="shared" si="1"/>
        <v>1</v>
      </c>
      <c r="Q17" s="4" t="s">
        <v>120</v>
      </c>
      <c r="R17" s="4">
        <v>0.91700000000000004</v>
      </c>
      <c r="S17" s="4">
        <v>0.84450000000000003</v>
      </c>
      <c r="T17" s="4">
        <v>0.79210000000000003</v>
      </c>
      <c r="U17" s="4" t="s">
        <v>121</v>
      </c>
      <c r="V17" s="4">
        <v>0.94869999999999999</v>
      </c>
      <c r="W17" s="4">
        <v>0.94869999999999999</v>
      </c>
      <c r="X17" s="4" t="s">
        <v>59</v>
      </c>
      <c r="Y17" s="4" t="s">
        <v>59</v>
      </c>
      <c r="Z17" s="4" t="s">
        <v>59</v>
      </c>
      <c r="AA17" s="4" t="s">
        <v>59</v>
      </c>
    </row>
    <row r="18" spans="1:27" ht="26.25" customHeight="1" x14ac:dyDescent="0.4">
      <c r="A18" s="1" t="s">
        <v>23</v>
      </c>
      <c r="B18" s="3" t="s">
        <v>24</v>
      </c>
      <c r="E18" t="s">
        <v>122</v>
      </c>
      <c r="F18" s="14" t="s">
        <v>266</v>
      </c>
      <c r="G18" s="14" t="s">
        <v>266</v>
      </c>
      <c r="H18" s="14" t="s">
        <v>266</v>
      </c>
      <c r="I18" s="14" t="s">
        <v>269</v>
      </c>
      <c r="J18" s="4">
        <v>0.95689999999999997</v>
      </c>
      <c r="K18" s="4" t="s">
        <v>123</v>
      </c>
      <c r="L18" s="4" t="s">
        <v>123</v>
      </c>
      <c r="M18" s="4" t="s">
        <v>123</v>
      </c>
      <c r="N18" s="4">
        <v>0.84570000000000001</v>
      </c>
      <c r="O18" s="4" t="b">
        <f t="shared" si="0"/>
        <v>0</v>
      </c>
      <c r="P18" s="4" t="b">
        <f t="shared" si="1"/>
        <v>0</v>
      </c>
      <c r="Q18" s="4" t="s">
        <v>59</v>
      </c>
      <c r="R18" s="4" t="s">
        <v>59</v>
      </c>
      <c r="S18" s="4">
        <v>0.7964</v>
      </c>
      <c r="T18" s="4">
        <v>0.7964</v>
      </c>
      <c r="U18" s="4" t="s">
        <v>124</v>
      </c>
      <c r="V18" s="4">
        <v>0.75229999999999997</v>
      </c>
      <c r="W18" s="4">
        <v>0.75229999999999997</v>
      </c>
      <c r="X18" s="4" t="s">
        <v>59</v>
      </c>
      <c r="Y18" s="4" t="s">
        <v>59</v>
      </c>
      <c r="Z18" s="4" t="s">
        <v>125</v>
      </c>
      <c r="AA18" s="4">
        <v>0.90159999999999996</v>
      </c>
    </row>
    <row r="19" spans="1:27" ht="26.25" customHeight="1" x14ac:dyDescent="0.4">
      <c r="A19" s="1" t="s">
        <v>23</v>
      </c>
      <c r="B19" s="3" t="s">
        <v>24</v>
      </c>
      <c r="E19" t="s">
        <v>126</v>
      </c>
      <c r="F19" s="14" t="s">
        <v>266</v>
      </c>
      <c r="G19" s="14" t="s">
        <v>266</v>
      </c>
      <c r="H19" s="14" t="s">
        <v>266</v>
      </c>
      <c r="I19" s="14" t="s">
        <v>264</v>
      </c>
      <c r="J19" s="4">
        <v>1</v>
      </c>
      <c r="K19" s="4" t="s">
        <v>127</v>
      </c>
      <c r="L19" s="4" t="s">
        <v>127</v>
      </c>
      <c r="M19" s="4" t="s">
        <v>127</v>
      </c>
      <c r="N19" s="4">
        <v>1</v>
      </c>
      <c r="O19" s="4" t="b">
        <f t="shared" si="0"/>
        <v>1</v>
      </c>
      <c r="P19" s="4" t="b">
        <f t="shared" si="1"/>
        <v>1</v>
      </c>
      <c r="Q19" s="4" t="s">
        <v>59</v>
      </c>
      <c r="R19" s="4" t="s">
        <v>59</v>
      </c>
      <c r="S19" s="4">
        <v>0.99990000000000001</v>
      </c>
      <c r="T19" s="4">
        <v>0.99990000000000001</v>
      </c>
      <c r="U19" s="4" t="s">
        <v>128</v>
      </c>
      <c r="V19" s="4">
        <v>0.999</v>
      </c>
      <c r="W19" s="4">
        <v>0.999</v>
      </c>
      <c r="X19" s="4" t="s">
        <v>129</v>
      </c>
      <c r="Y19" s="4">
        <v>0.96740000000000004</v>
      </c>
      <c r="Z19" s="4" t="s">
        <v>130</v>
      </c>
      <c r="AA19" s="4">
        <v>0.99750000000000005</v>
      </c>
    </row>
    <row r="20" spans="1:27" ht="26.25" customHeight="1" x14ac:dyDescent="0.4">
      <c r="A20" s="1" t="s">
        <v>23</v>
      </c>
      <c r="B20" s="3" t="s">
        <v>24</v>
      </c>
      <c r="E20" t="s">
        <v>131</v>
      </c>
      <c r="F20" s="14" t="s">
        <v>261</v>
      </c>
      <c r="G20" s="14" t="s">
        <v>266</v>
      </c>
      <c r="H20" s="14" t="s">
        <v>266</v>
      </c>
      <c r="I20" s="14" t="s">
        <v>264</v>
      </c>
      <c r="J20" s="4">
        <v>0.99080000000000001</v>
      </c>
      <c r="K20" s="4" t="s">
        <v>132</v>
      </c>
      <c r="L20" s="4" t="s">
        <v>133</v>
      </c>
      <c r="M20" s="4" t="s">
        <v>132</v>
      </c>
      <c r="N20" s="4">
        <v>0.97009999999999996</v>
      </c>
      <c r="O20" s="4" t="b">
        <f t="shared" si="0"/>
        <v>1</v>
      </c>
      <c r="P20" s="4" t="b">
        <f t="shared" si="1"/>
        <v>1</v>
      </c>
      <c r="Q20" s="4" t="s">
        <v>59</v>
      </c>
      <c r="R20" s="4" t="s">
        <v>59</v>
      </c>
      <c r="S20" s="4">
        <v>0.94710000000000005</v>
      </c>
      <c r="T20" s="4">
        <v>0.94710000000000005</v>
      </c>
      <c r="U20" s="4" t="s">
        <v>134</v>
      </c>
      <c r="V20" s="4">
        <v>0.9577</v>
      </c>
      <c r="W20" s="4">
        <v>0.74070000000000003</v>
      </c>
      <c r="X20" s="4" t="s">
        <v>135</v>
      </c>
      <c r="Y20" s="4">
        <v>0.92830000000000001</v>
      </c>
      <c r="Z20" s="4" t="s">
        <v>135</v>
      </c>
      <c r="AA20" s="4">
        <v>0.93679999999999997</v>
      </c>
    </row>
    <row r="21" spans="1:27" ht="26.25" customHeight="1" x14ac:dyDescent="0.4">
      <c r="A21" s="1" t="s">
        <v>23</v>
      </c>
      <c r="B21" s="1" t="s">
        <v>34</v>
      </c>
      <c r="C21" s="1" t="s">
        <v>136</v>
      </c>
      <c r="D21" s="1" t="s">
        <v>72</v>
      </c>
      <c r="E21" t="s">
        <v>137</v>
      </c>
      <c r="F21" s="14" t="s">
        <v>261</v>
      </c>
      <c r="G21" s="14" t="s">
        <v>262</v>
      </c>
      <c r="H21" s="14" t="s">
        <v>266</v>
      </c>
      <c r="I21" s="14" t="s">
        <v>263</v>
      </c>
      <c r="J21" s="4">
        <v>0.99619999999999997</v>
      </c>
      <c r="K21" s="4" t="s">
        <v>138</v>
      </c>
      <c r="L21" s="4" t="s">
        <v>139</v>
      </c>
      <c r="M21" s="4" t="s">
        <v>139</v>
      </c>
      <c r="N21" s="4">
        <v>0.99080000000000001</v>
      </c>
      <c r="O21" s="4" t="b">
        <f t="shared" si="0"/>
        <v>1</v>
      </c>
      <c r="P21" s="4" t="b">
        <f t="shared" si="1"/>
        <v>1</v>
      </c>
      <c r="Q21" s="4" t="s">
        <v>140</v>
      </c>
      <c r="R21" s="4">
        <v>0.98860000000000003</v>
      </c>
      <c r="S21" s="4">
        <v>0.99529999999999996</v>
      </c>
      <c r="T21" s="4">
        <v>0.98199999999999998</v>
      </c>
      <c r="U21" s="4" t="s">
        <v>141</v>
      </c>
      <c r="V21" s="4">
        <v>0.99129999999999996</v>
      </c>
      <c r="W21" s="4">
        <v>0.9899</v>
      </c>
      <c r="X21" s="4" t="s">
        <v>142</v>
      </c>
      <c r="Y21" s="4">
        <v>0.95799999999999996</v>
      </c>
      <c r="Z21" s="4" t="s">
        <v>142</v>
      </c>
      <c r="AA21" s="4">
        <v>0.95799999999999996</v>
      </c>
    </row>
    <row r="22" spans="1:27" ht="26.25" customHeight="1" x14ac:dyDescent="0.4">
      <c r="A22" s="1" t="s">
        <v>23</v>
      </c>
      <c r="B22" s="1" t="s">
        <v>34</v>
      </c>
      <c r="C22" s="1" t="s">
        <v>143</v>
      </c>
      <c r="D22" s="1" t="s">
        <v>144</v>
      </c>
      <c r="E22" t="s">
        <v>145</v>
      </c>
      <c r="F22" s="14" t="s">
        <v>261</v>
      </c>
      <c r="G22" s="14" t="s">
        <v>265</v>
      </c>
      <c r="H22" s="14" t="s">
        <v>268</v>
      </c>
      <c r="I22" s="14" t="s">
        <v>264</v>
      </c>
      <c r="J22" s="4">
        <v>0.98809999999999998</v>
      </c>
      <c r="K22" s="4" t="s">
        <v>146</v>
      </c>
      <c r="L22" s="4" t="s">
        <v>146</v>
      </c>
      <c r="M22" s="4" t="s">
        <v>147</v>
      </c>
      <c r="N22" s="4">
        <v>0.99450000000000005</v>
      </c>
      <c r="O22" s="4" t="b">
        <f t="shared" si="0"/>
        <v>1</v>
      </c>
      <c r="P22" s="4" t="b">
        <f t="shared" si="1"/>
        <v>1</v>
      </c>
      <c r="Q22" s="4" t="s">
        <v>148</v>
      </c>
      <c r="R22" s="4">
        <v>0.98309999999999997</v>
      </c>
      <c r="S22" s="4">
        <v>0.9839</v>
      </c>
      <c r="T22" s="4">
        <v>0.97750000000000004</v>
      </c>
      <c r="U22" s="4" t="s">
        <v>149</v>
      </c>
      <c r="V22" s="4">
        <v>0.99650000000000005</v>
      </c>
      <c r="W22" s="4">
        <v>0.99650000000000005</v>
      </c>
      <c r="X22" s="4" t="s">
        <v>150</v>
      </c>
      <c r="Y22" s="4">
        <v>0.93210000000000004</v>
      </c>
      <c r="Z22" s="4" t="s">
        <v>150</v>
      </c>
      <c r="AA22" s="4">
        <v>0.95840000000000003</v>
      </c>
    </row>
    <row r="23" spans="1:27" ht="26.25" customHeight="1" x14ac:dyDescent="0.4">
      <c r="A23" s="1" t="s">
        <v>82</v>
      </c>
      <c r="B23" s="3" t="s">
        <v>24</v>
      </c>
      <c r="E23" t="s">
        <v>151</v>
      </c>
      <c r="F23" s="14" t="s">
        <v>270</v>
      </c>
      <c r="G23" s="14" t="s">
        <v>270</v>
      </c>
      <c r="H23" s="14" t="s">
        <v>270</v>
      </c>
      <c r="I23" s="14" t="s">
        <v>270</v>
      </c>
      <c r="J23" s="4">
        <v>1</v>
      </c>
      <c r="K23" s="4" t="s">
        <v>152</v>
      </c>
      <c r="L23" s="4" t="s">
        <v>152</v>
      </c>
      <c r="M23" s="4" t="s">
        <v>152</v>
      </c>
      <c r="N23" s="4">
        <v>0.99719999999999998</v>
      </c>
      <c r="O23" s="4" t="b">
        <f t="shared" si="0"/>
        <v>1</v>
      </c>
      <c r="P23" s="4" t="b">
        <f t="shared" si="1"/>
        <v>1</v>
      </c>
      <c r="Q23" s="4" t="s">
        <v>59</v>
      </c>
      <c r="R23" s="4" t="s">
        <v>59</v>
      </c>
      <c r="S23" s="4">
        <v>0.99470000000000003</v>
      </c>
      <c r="T23" s="4">
        <v>0.99470000000000003</v>
      </c>
      <c r="U23" s="4" t="s">
        <v>153</v>
      </c>
      <c r="V23" s="4">
        <v>0.99809999999999999</v>
      </c>
      <c r="W23" s="4">
        <v>0.99809999999999999</v>
      </c>
      <c r="X23" s="4" t="s">
        <v>154</v>
      </c>
      <c r="Y23" s="4">
        <v>0.99260000000000004</v>
      </c>
      <c r="Z23" s="4" t="s">
        <v>59</v>
      </c>
      <c r="AA23" s="4" t="s">
        <v>59</v>
      </c>
    </row>
    <row r="24" spans="1:27" ht="26.25" customHeight="1" x14ac:dyDescent="0.4">
      <c r="A24" s="1" t="s">
        <v>82</v>
      </c>
      <c r="B24" s="3" t="s">
        <v>24</v>
      </c>
      <c r="E24" t="s">
        <v>155</v>
      </c>
      <c r="F24" s="14" t="s">
        <v>270</v>
      </c>
      <c r="G24" s="14" t="s">
        <v>270</v>
      </c>
      <c r="H24" s="14" t="s">
        <v>270</v>
      </c>
      <c r="I24" s="14" t="s">
        <v>270</v>
      </c>
      <c r="J24" s="4">
        <v>1</v>
      </c>
      <c r="K24" s="4" t="s">
        <v>156</v>
      </c>
      <c r="L24" s="4" t="s">
        <v>156</v>
      </c>
      <c r="M24" s="4" t="s">
        <v>156</v>
      </c>
      <c r="N24" s="4">
        <v>1</v>
      </c>
      <c r="O24" s="4" t="b">
        <f t="shared" si="0"/>
        <v>1</v>
      </c>
      <c r="P24" s="4" t="b">
        <f t="shared" si="1"/>
        <v>1</v>
      </c>
      <c r="Q24" s="4" t="s">
        <v>59</v>
      </c>
      <c r="R24" s="4" t="s">
        <v>59</v>
      </c>
      <c r="S24" s="4">
        <v>1</v>
      </c>
      <c r="T24" s="4">
        <v>1</v>
      </c>
      <c r="U24" s="4" t="s">
        <v>157</v>
      </c>
      <c r="V24" s="4">
        <v>1</v>
      </c>
      <c r="W24" s="4">
        <v>1</v>
      </c>
      <c r="X24" s="4" t="s">
        <v>158</v>
      </c>
      <c r="Y24" s="4">
        <v>1</v>
      </c>
      <c r="Z24" s="4" t="s">
        <v>59</v>
      </c>
      <c r="AA24" s="4" t="s">
        <v>59</v>
      </c>
    </row>
    <row r="25" spans="1:27" ht="26.25" customHeight="1" x14ac:dyDescent="0.4">
      <c r="A25" s="1" t="s">
        <v>82</v>
      </c>
      <c r="B25" s="3" t="s">
        <v>24</v>
      </c>
      <c r="C25" s="1" t="s">
        <v>159</v>
      </c>
      <c r="D25" s="1" t="s">
        <v>72</v>
      </c>
      <c r="E25" t="s">
        <v>160</v>
      </c>
      <c r="F25" s="14" t="s">
        <v>267</v>
      </c>
      <c r="G25" s="14" t="s">
        <v>266</v>
      </c>
      <c r="H25" s="14" t="s">
        <v>266</v>
      </c>
      <c r="I25" s="14" t="s">
        <v>269</v>
      </c>
      <c r="J25" s="4">
        <v>1</v>
      </c>
      <c r="K25" s="4" t="s">
        <v>161</v>
      </c>
      <c r="L25" s="4" t="s">
        <v>161</v>
      </c>
      <c r="M25" s="4" t="s">
        <v>161</v>
      </c>
      <c r="N25" s="4">
        <v>0.99990000000000001</v>
      </c>
      <c r="O25" s="4" t="b">
        <f t="shared" si="0"/>
        <v>1</v>
      </c>
      <c r="P25" s="4" t="b">
        <f t="shared" si="1"/>
        <v>1</v>
      </c>
      <c r="Q25" s="4" t="s">
        <v>59</v>
      </c>
      <c r="R25" s="4" t="s">
        <v>59</v>
      </c>
      <c r="S25" s="4">
        <v>0.99980000000000002</v>
      </c>
      <c r="T25" s="4">
        <v>0.99980000000000002</v>
      </c>
      <c r="U25" s="4" t="s">
        <v>162</v>
      </c>
      <c r="V25" s="4">
        <v>0.99690000000000001</v>
      </c>
      <c r="W25" s="4">
        <v>0.99690000000000001</v>
      </c>
      <c r="X25" s="4" t="s">
        <v>163</v>
      </c>
      <c r="Y25" s="4">
        <v>0.91410000000000002</v>
      </c>
      <c r="Z25" s="4" t="s">
        <v>59</v>
      </c>
      <c r="AA25" s="4" t="s">
        <v>59</v>
      </c>
    </row>
    <row r="26" spans="1:27" ht="26.25" customHeight="1" x14ac:dyDescent="0.4">
      <c r="A26" s="1" t="s">
        <v>23</v>
      </c>
      <c r="B26" s="1" t="s">
        <v>34</v>
      </c>
      <c r="C26" s="1" t="s">
        <v>164</v>
      </c>
      <c r="D26" s="1" t="s">
        <v>72</v>
      </c>
      <c r="E26" t="s">
        <v>165</v>
      </c>
      <c r="F26" s="14" t="s">
        <v>261</v>
      </c>
      <c r="G26" s="14" t="s">
        <v>265</v>
      </c>
      <c r="H26" s="14" t="s">
        <v>266</v>
      </c>
      <c r="I26" s="14" t="s">
        <v>263</v>
      </c>
      <c r="J26" s="4">
        <v>0.99939999999999996</v>
      </c>
      <c r="K26" s="4" t="s">
        <v>166</v>
      </c>
      <c r="L26" s="4" t="s">
        <v>166</v>
      </c>
      <c r="M26" s="4" t="s">
        <v>166</v>
      </c>
      <c r="N26" s="4">
        <v>0.99580000000000002</v>
      </c>
      <c r="O26" s="4" t="b">
        <f t="shared" si="0"/>
        <v>1</v>
      </c>
      <c r="P26" s="4" t="b">
        <f t="shared" si="1"/>
        <v>1</v>
      </c>
      <c r="Q26" s="4" t="s">
        <v>167</v>
      </c>
      <c r="R26" s="4">
        <v>0.99590000000000001</v>
      </c>
      <c r="S26" s="4">
        <v>0.98680000000000001</v>
      </c>
      <c r="T26" s="4">
        <v>0.98680000000000001</v>
      </c>
      <c r="U26" s="4" t="s">
        <v>168</v>
      </c>
      <c r="V26" s="4">
        <v>0.98580000000000001</v>
      </c>
      <c r="W26" s="4">
        <v>0.98580000000000001</v>
      </c>
      <c r="X26" s="4" t="s">
        <v>169</v>
      </c>
      <c r="Y26" s="4">
        <v>0.9778</v>
      </c>
      <c r="Z26" s="4" t="s">
        <v>169</v>
      </c>
      <c r="AA26" s="4">
        <v>0.90869999999999995</v>
      </c>
    </row>
    <row r="27" spans="1:27" ht="26.25" customHeight="1" x14ac:dyDescent="0.4">
      <c r="A27" s="1" t="s">
        <v>82</v>
      </c>
      <c r="B27" s="3" t="s">
        <v>24</v>
      </c>
      <c r="E27" t="s">
        <v>170</v>
      </c>
      <c r="F27" s="11" t="s">
        <v>263</v>
      </c>
      <c r="G27" s="11" t="s">
        <v>262</v>
      </c>
      <c r="H27" s="11" t="s">
        <v>268</v>
      </c>
      <c r="I27" s="11" t="s">
        <v>264</v>
      </c>
      <c r="J27" s="4">
        <v>0.99129999999999996</v>
      </c>
      <c r="K27" s="4" t="s">
        <v>171</v>
      </c>
      <c r="L27" s="4" t="s">
        <v>172</v>
      </c>
      <c r="M27" s="4" t="s">
        <v>173</v>
      </c>
      <c r="N27" s="4">
        <v>0.94940000000000002</v>
      </c>
      <c r="O27" s="4" t="b">
        <f t="shared" si="0"/>
        <v>0</v>
      </c>
      <c r="P27" s="4" t="b">
        <f t="shared" si="1"/>
        <v>1</v>
      </c>
      <c r="Q27" s="4" t="s">
        <v>59</v>
      </c>
      <c r="R27" s="4" t="s">
        <v>59</v>
      </c>
      <c r="S27" s="4">
        <v>0.87509999999999999</v>
      </c>
      <c r="T27" s="4">
        <v>0.84209999999999996</v>
      </c>
      <c r="U27" s="4" t="s">
        <v>174</v>
      </c>
      <c r="V27" s="4">
        <v>0.98950000000000005</v>
      </c>
      <c r="W27" s="4">
        <v>0.54830000000000001</v>
      </c>
      <c r="X27" s="4" t="s">
        <v>59</v>
      </c>
      <c r="Y27" s="4" t="s">
        <v>59</v>
      </c>
      <c r="Z27" s="4" t="s">
        <v>59</v>
      </c>
      <c r="AA27" s="4" t="s">
        <v>59</v>
      </c>
    </row>
    <row r="28" spans="1:27" ht="26.25" customHeight="1" x14ac:dyDescent="0.4">
      <c r="A28" s="1" t="s">
        <v>82</v>
      </c>
      <c r="B28" s="3" t="s">
        <v>24</v>
      </c>
      <c r="E28" t="s">
        <v>175</v>
      </c>
      <c r="F28" s="13"/>
      <c r="G28" s="13"/>
      <c r="H28" s="13"/>
      <c r="I28" s="13"/>
      <c r="J28" s="4">
        <v>0.99429999999999996</v>
      </c>
      <c r="K28" s="4" t="s">
        <v>176</v>
      </c>
      <c r="L28" s="4" t="s">
        <v>172</v>
      </c>
      <c r="M28" s="4" t="s">
        <v>177</v>
      </c>
      <c r="N28" s="4">
        <v>0.99219999999999997</v>
      </c>
      <c r="O28" s="4" t="b">
        <f t="shared" si="0"/>
        <v>1</v>
      </c>
      <c r="P28" s="4" t="b">
        <f t="shared" si="1"/>
        <v>1</v>
      </c>
      <c r="Q28" s="4" t="s">
        <v>59</v>
      </c>
      <c r="R28" s="4" t="s">
        <v>59</v>
      </c>
      <c r="S28" s="4">
        <v>0.98680000000000001</v>
      </c>
      <c r="T28" s="4">
        <v>0.96989999999999998</v>
      </c>
      <c r="U28" s="4" t="s">
        <v>174</v>
      </c>
      <c r="V28" s="4">
        <v>0.98950000000000005</v>
      </c>
      <c r="W28" s="4">
        <v>0.98560000000000003</v>
      </c>
      <c r="X28" s="4" t="s">
        <v>59</v>
      </c>
      <c r="Y28" s="4" t="s">
        <v>59</v>
      </c>
      <c r="Z28" s="4" t="s">
        <v>59</v>
      </c>
      <c r="AA28" s="4" t="s">
        <v>59</v>
      </c>
    </row>
    <row r="29" spans="1:27" ht="26.25" customHeight="1" x14ac:dyDescent="0.4">
      <c r="A29" s="1" t="s">
        <v>82</v>
      </c>
      <c r="B29" s="3" t="s">
        <v>24</v>
      </c>
      <c r="C29" s="1" t="s">
        <v>178</v>
      </c>
      <c r="D29" s="1" t="s">
        <v>72</v>
      </c>
      <c r="E29" t="s">
        <v>179</v>
      </c>
      <c r="F29" s="14" t="s">
        <v>261</v>
      </c>
      <c r="G29" s="14" t="s">
        <v>266</v>
      </c>
      <c r="H29" s="14" t="s">
        <v>266</v>
      </c>
      <c r="I29" s="14" t="s">
        <v>264</v>
      </c>
      <c r="J29" s="4">
        <v>0.99450000000000005</v>
      </c>
      <c r="K29" s="4" t="s">
        <v>180</v>
      </c>
      <c r="L29" s="4" t="s">
        <v>180</v>
      </c>
      <c r="M29" s="4" t="s">
        <v>180</v>
      </c>
      <c r="N29" s="4">
        <v>0.96060000000000001</v>
      </c>
      <c r="O29" s="4" t="b">
        <f t="shared" si="0"/>
        <v>1</v>
      </c>
      <c r="P29" s="4" t="b">
        <f t="shared" si="1"/>
        <v>1</v>
      </c>
      <c r="Q29" s="4" t="s">
        <v>59</v>
      </c>
      <c r="R29" s="4" t="s">
        <v>59</v>
      </c>
      <c r="S29" s="4">
        <v>0.92600000000000005</v>
      </c>
      <c r="T29" s="4">
        <v>0.92600000000000005</v>
      </c>
      <c r="U29" s="4" t="s">
        <v>181</v>
      </c>
      <c r="V29" s="4">
        <v>0.96640000000000004</v>
      </c>
      <c r="W29" s="4">
        <v>0.96640000000000004</v>
      </c>
      <c r="X29" s="4" t="s">
        <v>182</v>
      </c>
      <c r="Y29" s="4">
        <v>0.98860000000000003</v>
      </c>
      <c r="Z29" s="4" t="s">
        <v>59</v>
      </c>
      <c r="AA29" s="4" t="s">
        <v>59</v>
      </c>
    </row>
    <row r="30" spans="1:27" ht="26.25" customHeight="1" x14ac:dyDescent="0.4">
      <c r="A30" s="3" t="s">
        <v>24</v>
      </c>
      <c r="B30" s="3" t="s">
        <v>24</v>
      </c>
      <c r="E30" t="s">
        <v>183</v>
      </c>
      <c r="F30" s="15" t="s">
        <v>261</v>
      </c>
      <c r="G30" s="15" t="s">
        <v>263</v>
      </c>
      <c r="H30" s="15" t="s">
        <v>268</v>
      </c>
      <c r="I30" s="15" t="s">
        <v>263</v>
      </c>
      <c r="J30" s="4">
        <v>0.99719999999999998</v>
      </c>
      <c r="K30" s="4" t="s">
        <v>184</v>
      </c>
      <c r="L30" s="4" t="s">
        <v>185</v>
      </c>
      <c r="M30" s="4" t="s">
        <v>184</v>
      </c>
      <c r="N30" s="4">
        <v>0.80969999999999998</v>
      </c>
      <c r="O30" s="4" t="b">
        <f t="shared" si="0"/>
        <v>0</v>
      </c>
      <c r="P30" s="4" t="b">
        <f t="shared" si="1"/>
        <v>0</v>
      </c>
      <c r="Q30" s="4" t="s">
        <v>59</v>
      </c>
      <c r="R30" s="4" t="s">
        <v>59</v>
      </c>
      <c r="S30" s="4">
        <v>0.76359999999999995</v>
      </c>
      <c r="T30" s="4">
        <v>0.76359999999999995</v>
      </c>
      <c r="U30" s="4" t="s">
        <v>186</v>
      </c>
      <c r="V30" s="4">
        <v>0.82269999999999999</v>
      </c>
      <c r="W30" s="4">
        <v>0.43380000000000002</v>
      </c>
      <c r="X30" s="4" t="s">
        <v>59</v>
      </c>
      <c r="Y30" s="4" t="s">
        <v>59</v>
      </c>
      <c r="Z30" s="4" t="s">
        <v>59</v>
      </c>
      <c r="AA30" s="4" t="s">
        <v>59</v>
      </c>
    </row>
    <row r="31" spans="1:27" ht="26.25" customHeight="1" x14ac:dyDescent="0.4">
      <c r="A31" s="3" t="s">
        <v>24</v>
      </c>
      <c r="B31" s="1" t="s">
        <v>34</v>
      </c>
      <c r="C31" s="1" t="s">
        <v>187</v>
      </c>
      <c r="D31" s="1" t="s">
        <v>36</v>
      </c>
      <c r="E31" t="s">
        <v>188</v>
      </c>
      <c r="F31" s="15"/>
      <c r="G31" s="15"/>
      <c r="H31" s="15"/>
      <c r="I31" s="15"/>
      <c r="J31" s="4">
        <v>0.97919999999999996</v>
      </c>
      <c r="K31" s="4" t="s">
        <v>185</v>
      </c>
      <c r="L31" s="4" t="s">
        <v>185</v>
      </c>
      <c r="M31" s="4" t="s">
        <v>185</v>
      </c>
      <c r="N31" s="4">
        <v>0.93610000000000004</v>
      </c>
      <c r="O31" s="4" t="b">
        <f t="shared" si="0"/>
        <v>0</v>
      </c>
      <c r="P31" s="4" t="b">
        <f t="shared" si="1"/>
        <v>1</v>
      </c>
      <c r="Q31" s="4" t="s">
        <v>189</v>
      </c>
      <c r="R31" s="4">
        <v>0.96499999999999997</v>
      </c>
      <c r="S31" s="4">
        <v>0.94199999999999995</v>
      </c>
      <c r="T31" s="4">
        <v>0.94199999999999995</v>
      </c>
      <c r="U31" s="4" t="s">
        <v>186</v>
      </c>
      <c r="V31" s="4">
        <v>0.82269999999999999</v>
      </c>
      <c r="W31" s="4">
        <v>0.82269999999999999</v>
      </c>
      <c r="X31" s="4" t="s">
        <v>59</v>
      </c>
      <c r="Y31" s="4" t="s">
        <v>59</v>
      </c>
      <c r="Z31" s="4" t="s">
        <v>59</v>
      </c>
      <c r="AA31" s="4" t="s">
        <v>59</v>
      </c>
    </row>
    <row r="32" spans="1:27" ht="26.25" customHeight="1" x14ac:dyDescent="0.4">
      <c r="A32" s="3" t="s">
        <v>24</v>
      </c>
      <c r="B32" s="3" t="s">
        <v>24</v>
      </c>
      <c r="E32" t="s">
        <v>190</v>
      </c>
      <c r="F32" s="14" t="s">
        <v>261</v>
      </c>
      <c r="G32" s="14" t="s">
        <v>263</v>
      </c>
      <c r="H32" s="14" t="s">
        <v>266</v>
      </c>
      <c r="I32" s="14" t="s">
        <v>264</v>
      </c>
      <c r="J32" s="4">
        <v>0.9919</v>
      </c>
      <c r="K32" s="4" t="s">
        <v>191</v>
      </c>
      <c r="L32" s="4" t="s">
        <v>192</v>
      </c>
      <c r="M32" s="4" t="s">
        <v>191</v>
      </c>
      <c r="N32" s="4">
        <v>0.98719999999999997</v>
      </c>
      <c r="O32" s="4" t="b">
        <f t="shared" si="0"/>
        <v>1</v>
      </c>
      <c r="P32" s="4" t="b">
        <f t="shared" si="1"/>
        <v>1</v>
      </c>
      <c r="Q32" s="4" t="s">
        <v>59</v>
      </c>
      <c r="R32" s="4" t="s">
        <v>59</v>
      </c>
      <c r="S32" s="4">
        <v>0.97189999999999999</v>
      </c>
      <c r="T32" s="4">
        <v>0.97189999999999999</v>
      </c>
      <c r="U32" s="4" t="s">
        <v>193</v>
      </c>
      <c r="V32" s="4">
        <v>0.98299999999999998</v>
      </c>
      <c r="W32" s="4">
        <v>0.96589999999999998</v>
      </c>
      <c r="X32" s="4" t="s">
        <v>59</v>
      </c>
      <c r="Y32" s="4" t="s">
        <v>59</v>
      </c>
      <c r="Z32" s="4" t="s">
        <v>59</v>
      </c>
      <c r="AA32" s="4" t="s">
        <v>59</v>
      </c>
    </row>
    <row r="33" spans="1:27" ht="26.25" customHeight="1" x14ac:dyDescent="0.4">
      <c r="A33" s="3" t="s">
        <v>24</v>
      </c>
      <c r="B33" s="3" t="s">
        <v>24</v>
      </c>
      <c r="E33" t="s">
        <v>194</v>
      </c>
      <c r="F33" s="14" t="s">
        <v>266</v>
      </c>
      <c r="G33" s="14" t="s">
        <v>266</v>
      </c>
      <c r="H33" s="14" t="s">
        <v>266</v>
      </c>
      <c r="I33" s="14" t="s">
        <v>266</v>
      </c>
      <c r="J33" s="4">
        <v>0.99680000000000002</v>
      </c>
      <c r="K33" s="4" t="s">
        <v>195</v>
      </c>
      <c r="L33" s="4" t="s">
        <v>195</v>
      </c>
      <c r="M33" s="4" t="s">
        <v>195</v>
      </c>
      <c r="N33" s="4">
        <v>0.97130000000000005</v>
      </c>
      <c r="O33" s="4" t="b">
        <f t="shared" si="0"/>
        <v>1</v>
      </c>
      <c r="P33" s="4" t="b">
        <f t="shared" si="1"/>
        <v>1</v>
      </c>
      <c r="Q33" s="6" t="s">
        <v>196</v>
      </c>
      <c r="R33" s="6">
        <v>0.92679999999999996</v>
      </c>
      <c r="S33" s="4">
        <v>0.95830000000000004</v>
      </c>
      <c r="T33" s="4">
        <v>0.95830000000000004</v>
      </c>
      <c r="U33" s="4" t="s">
        <v>197</v>
      </c>
      <c r="V33" s="4">
        <v>0.82669999999999999</v>
      </c>
      <c r="W33" s="4">
        <v>0.82669999999999999</v>
      </c>
      <c r="X33" s="4" t="s">
        <v>59</v>
      </c>
      <c r="Y33" s="4" t="s">
        <v>59</v>
      </c>
      <c r="Z33" s="4" t="s">
        <v>59</v>
      </c>
      <c r="AA33" s="4" t="s">
        <v>59</v>
      </c>
    </row>
    <row r="34" spans="1:27" ht="26.25" customHeight="1" x14ac:dyDescent="0.4">
      <c r="A34" s="3" t="s">
        <v>24</v>
      </c>
      <c r="B34" s="1" t="s">
        <v>34</v>
      </c>
      <c r="C34" s="1" t="s">
        <v>198</v>
      </c>
      <c r="D34" s="7" t="s">
        <v>56</v>
      </c>
      <c r="E34" t="s">
        <v>199</v>
      </c>
      <c r="F34" s="14" t="s">
        <v>263</v>
      </c>
      <c r="G34" s="14" t="s">
        <v>266</v>
      </c>
      <c r="H34" s="14" t="s">
        <v>268</v>
      </c>
      <c r="I34" s="14" t="s">
        <v>263</v>
      </c>
      <c r="J34" s="4">
        <v>0.97460000000000002</v>
      </c>
      <c r="K34" s="4" t="s">
        <v>200</v>
      </c>
      <c r="L34" s="4" t="s">
        <v>201</v>
      </c>
      <c r="M34" s="4" t="s">
        <v>202</v>
      </c>
      <c r="N34" s="4">
        <v>0.9879</v>
      </c>
      <c r="O34" s="4" t="b">
        <f t="shared" si="0"/>
        <v>1</v>
      </c>
      <c r="P34" s="4" t="b">
        <f t="shared" si="1"/>
        <v>1</v>
      </c>
      <c r="Q34" s="4" t="s">
        <v>203</v>
      </c>
      <c r="R34" s="4">
        <v>0.92559999999999998</v>
      </c>
      <c r="S34" s="4">
        <v>0.99970000000000003</v>
      </c>
      <c r="T34" s="4">
        <v>0.9587</v>
      </c>
      <c r="U34" s="4" t="s">
        <v>204</v>
      </c>
      <c r="V34" s="4">
        <v>0.43130000000000002</v>
      </c>
      <c r="W34" s="4">
        <v>0.1608</v>
      </c>
      <c r="X34" s="4" t="s">
        <v>59</v>
      </c>
      <c r="Y34" s="4" t="s">
        <v>59</v>
      </c>
      <c r="Z34" s="4" t="s">
        <v>59</v>
      </c>
      <c r="AA34" s="4" t="s">
        <v>59</v>
      </c>
    </row>
    <row r="35" spans="1:27" ht="26.25" customHeight="1" x14ac:dyDescent="0.4">
      <c r="A35" s="3" t="s">
        <v>24</v>
      </c>
      <c r="B35" s="3" t="s">
        <v>24</v>
      </c>
      <c r="E35" t="s">
        <v>205</v>
      </c>
      <c r="F35" s="14" t="s">
        <v>267</v>
      </c>
      <c r="G35" s="14" t="s">
        <v>266</v>
      </c>
      <c r="H35" s="14" t="s">
        <v>271</v>
      </c>
      <c r="I35" s="14" t="s">
        <v>263</v>
      </c>
      <c r="J35" s="4">
        <v>0.9879</v>
      </c>
      <c r="K35" s="4" t="s">
        <v>206</v>
      </c>
      <c r="L35" s="4" t="s">
        <v>207</v>
      </c>
      <c r="M35" s="4" t="s">
        <v>206</v>
      </c>
      <c r="N35" s="4">
        <v>0.97760000000000002</v>
      </c>
      <c r="O35" s="4" t="b">
        <f t="shared" si="0"/>
        <v>1</v>
      </c>
      <c r="P35" s="4" t="b">
        <f t="shared" si="1"/>
        <v>1</v>
      </c>
      <c r="Q35" s="4" t="s">
        <v>59</v>
      </c>
      <c r="R35" s="4" t="s">
        <v>59</v>
      </c>
      <c r="S35" s="4">
        <v>0.93710000000000004</v>
      </c>
      <c r="T35" s="4">
        <v>0.93710000000000004</v>
      </c>
      <c r="U35" s="4" t="s">
        <v>208</v>
      </c>
      <c r="V35" s="4">
        <v>0.89880000000000004</v>
      </c>
      <c r="W35" s="4">
        <v>0.84289999999999998</v>
      </c>
      <c r="X35" s="4" t="s">
        <v>59</v>
      </c>
      <c r="Y35" s="4" t="s">
        <v>59</v>
      </c>
      <c r="Z35" s="4" t="s">
        <v>59</v>
      </c>
      <c r="AA35" s="4" t="s">
        <v>59</v>
      </c>
    </row>
    <row r="36" spans="1:27" ht="26.25" customHeight="1" x14ac:dyDescent="0.4">
      <c r="A36" s="3" t="s">
        <v>24</v>
      </c>
      <c r="B36" s="3" t="s">
        <v>24</v>
      </c>
      <c r="C36" s="1" t="s">
        <v>209</v>
      </c>
      <c r="D36" s="1" t="s">
        <v>210</v>
      </c>
      <c r="E36" t="s">
        <v>211</v>
      </c>
      <c r="F36" s="14" t="s">
        <v>267</v>
      </c>
      <c r="G36" s="14" t="s">
        <v>272</v>
      </c>
      <c r="H36" s="14" t="s">
        <v>273</v>
      </c>
      <c r="I36" s="14" t="s">
        <v>263</v>
      </c>
      <c r="J36" s="4">
        <v>0.99929999999999997</v>
      </c>
      <c r="K36" s="4" t="s">
        <v>212</v>
      </c>
      <c r="L36" s="4" t="s">
        <v>213</v>
      </c>
      <c r="M36" s="4" t="s">
        <v>212</v>
      </c>
      <c r="N36" s="4">
        <v>0.99250000000000005</v>
      </c>
      <c r="O36" s="4" t="b">
        <f t="shared" si="0"/>
        <v>1</v>
      </c>
      <c r="P36" s="4" t="b">
        <f t="shared" si="1"/>
        <v>1</v>
      </c>
      <c r="Q36" s="4" t="s">
        <v>59</v>
      </c>
      <c r="R36" s="4" t="s">
        <v>59</v>
      </c>
      <c r="S36" s="4">
        <v>0.9899</v>
      </c>
      <c r="T36" s="4">
        <v>0.9899</v>
      </c>
      <c r="U36" s="4" t="s">
        <v>214</v>
      </c>
      <c r="V36" s="4">
        <v>0.96830000000000005</v>
      </c>
      <c r="W36" s="4">
        <v>0.95920000000000005</v>
      </c>
      <c r="X36" s="4" t="s">
        <v>59</v>
      </c>
      <c r="Y36" s="4" t="s">
        <v>59</v>
      </c>
      <c r="Z36" s="4" t="s">
        <v>215</v>
      </c>
      <c r="AA36" s="4">
        <v>0.97260000000000002</v>
      </c>
    </row>
    <row r="37" spans="1:27" ht="26.25" customHeight="1" x14ac:dyDescent="0.4">
      <c r="A37" s="8" t="s">
        <v>216</v>
      </c>
      <c r="B37" s="3" t="s">
        <v>24</v>
      </c>
      <c r="E37" t="s">
        <v>217</v>
      </c>
      <c r="F37" s="14" t="s">
        <v>261</v>
      </c>
      <c r="G37" s="14" t="s">
        <v>266</v>
      </c>
      <c r="H37" s="14" t="s">
        <v>266</v>
      </c>
      <c r="I37" s="14" t="s">
        <v>263</v>
      </c>
      <c r="J37" s="4">
        <v>0.99660000000000004</v>
      </c>
      <c r="K37" s="4" t="s">
        <v>218</v>
      </c>
      <c r="L37" s="4" t="s">
        <v>127</v>
      </c>
      <c r="M37" s="4" t="s">
        <v>218</v>
      </c>
      <c r="N37" s="4">
        <v>0.95469999999999999</v>
      </c>
      <c r="O37" s="4" t="b">
        <f t="shared" si="0"/>
        <v>1</v>
      </c>
      <c r="P37" s="4" t="b">
        <f t="shared" si="1"/>
        <v>1</v>
      </c>
      <c r="Q37" s="4" t="s">
        <v>59</v>
      </c>
      <c r="R37" s="4" t="s">
        <v>59</v>
      </c>
      <c r="S37" s="4">
        <v>0.89549999999999996</v>
      </c>
      <c r="T37" s="4">
        <v>0.89549999999999996</v>
      </c>
      <c r="U37" s="4" t="s">
        <v>219</v>
      </c>
      <c r="V37" s="4">
        <v>0.73219999999999996</v>
      </c>
      <c r="W37" s="4">
        <v>0.65690000000000004</v>
      </c>
      <c r="X37" s="4" t="s">
        <v>59</v>
      </c>
      <c r="Y37" s="4" t="s">
        <v>59</v>
      </c>
      <c r="Z37" s="4" t="s">
        <v>220</v>
      </c>
      <c r="AA37" s="4">
        <v>0.94669999999999999</v>
      </c>
    </row>
    <row r="38" spans="1:27" ht="26.25" customHeight="1" x14ac:dyDescent="0.4">
      <c r="A38" s="3" t="s">
        <v>24</v>
      </c>
      <c r="B38" s="3" t="s">
        <v>24</v>
      </c>
      <c r="E38" t="s">
        <v>221</v>
      </c>
      <c r="F38" s="14" t="s">
        <v>266</v>
      </c>
      <c r="G38" s="14" t="s">
        <v>266</v>
      </c>
      <c r="H38" s="14" t="s">
        <v>266</v>
      </c>
      <c r="I38" s="14" t="s">
        <v>266</v>
      </c>
      <c r="J38" s="4">
        <v>0.95399999999999996</v>
      </c>
      <c r="K38" s="4" t="s">
        <v>222</v>
      </c>
      <c r="L38" s="4" t="s">
        <v>222</v>
      </c>
      <c r="M38" s="4" t="s">
        <v>222</v>
      </c>
      <c r="N38" s="4">
        <v>0.8206</v>
      </c>
      <c r="O38" s="4" t="b">
        <f t="shared" si="0"/>
        <v>0</v>
      </c>
      <c r="P38" s="4" t="b">
        <f t="shared" si="1"/>
        <v>0</v>
      </c>
      <c r="Q38" s="4" t="s">
        <v>59</v>
      </c>
      <c r="R38" s="4" t="s">
        <v>59</v>
      </c>
      <c r="S38" s="4">
        <v>0.6915</v>
      </c>
      <c r="T38" s="4">
        <v>0.6915</v>
      </c>
      <c r="U38" s="4" t="s">
        <v>223</v>
      </c>
      <c r="V38" s="4">
        <v>0.81410000000000005</v>
      </c>
      <c r="W38" s="4">
        <v>0.81410000000000005</v>
      </c>
      <c r="X38" s="4" t="s">
        <v>59</v>
      </c>
      <c r="Y38" s="4" t="s">
        <v>59</v>
      </c>
      <c r="Z38" s="4" t="s">
        <v>59</v>
      </c>
      <c r="AA38" s="4" t="s">
        <v>59</v>
      </c>
    </row>
    <row r="39" spans="1:27" ht="26.25" customHeight="1" x14ac:dyDescent="0.4">
      <c r="A39" s="8" t="s">
        <v>216</v>
      </c>
      <c r="B39" s="3" t="s">
        <v>24</v>
      </c>
      <c r="E39" t="s">
        <v>224</v>
      </c>
      <c r="F39" s="14" t="s">
        <v>266</v>
      </c>
      <c r="G39" s="14" t="s">
        <v>266</v>
      </c>
      <c r="H39" s="14" t="s">
        <v>266</v>
      </c>
      <c r="I39" s="14" t="s">
        <v>264</v>
      </c>
      <c r="J39" s="4">
        <v>0.99909999999999999</v>
      </c>
      <c r="K39" s="4" t="s">
        <v>225</v>
      </c>
      <c r="L39" s="4" t="s">
        <v>225</v>
      </c>
      <c r="M39" s="4" t="s">
        <v>225</v>
      </c>
      <c r="N39" s="4">
        <v>0.99980000000000002</v>
      </c>
      <c r="O39" s="4" t="b">
        <f t="shared" si="0"/>
        <v>1</v>
      </c>
      <c r="P39" s="4" t="b">
        <f t="shared" si="1"/>
        <v>1</v>
      </c>
      <c r="Q39" s="4" t="s">
        <v>59</v>
      </c>
      <c r="R39" s="4" t="s">
        <v>59</v>
      </c>
      <c r="S39" s="4">
        <v>0.99770000000000003</v>
      </c>
      <c r="T39" s="4">
        <v>0.99770000000000003</v>
      </c>
      <c r="U39" s="4" t="s">
        <v>226</v>
      </c>
      <c r="V39" s="4">
        <v>0.96760000000000002</v>
      </c>
      <c r="W39" s="4">
        <v>0.96760000000000002</v>
      </c>
      <c r="X39" s="4" t="s">
        <v>59</v>
      </c>
      <c r="Y39" s="4" t="s">
        <v>59</v>
      </c>
      <c r="Z39" s="4" t="s">
        <v>227</v>
      </c>
      <c r="AA39" s="4">
        <v>0.93230000000000002</v>
      </c>
    </row>
    <row r="40" spans="1:27" ht="26.25" customHeight="1" x14ac:dyDescent="0.4">
      <c r="A40" s="3" t="s">
        <v>24</v>
      </c>
      <c r="B40" s="3" t="s">
        <v>24</v>
      </c>
      <c r="C40" s="1" t="s">
        <v>55</v>
      </c>
      <c r="D40" s="7" t="s">
        <v>56</v>
      </c>
      <c r="E40" t="s">
        <v>228</v>
      </c>
      <c r="F40" s="14" t="s">
        <v>261</v>
      </c>
      <c r="G40" s="14" t="s">
        <v>266</v>
      </c>
      <c r="H40" s="14" t="s">
        <v>266</v>
      </c>
      <c r="I40" s="14" t="s">
        <v>264</v>
      </c>
      <c r="J40" s="4">
        <v>0.97529999999999994</v>
      </c>
      <c r="K40" s="4" t="s">
        <v>229</v>
      </c>
      <c r="L40" s="4" t="s">
        <v>229</v>
      </c>
      <c r="M40" s="4" t="s">
        <v>229</v>
      </c>
      <c r="N40" s="4">
        <v>0.7177</v>
      </c>
      <c r="O40" s="4" t="b">
        <f t="shared" si="0"/>
        <v>0</v>
      </c>
      <c r="P40" s="4" t="b">
        <f t="shared" si="1"/>
        <v>0</v>
      </c>
      <c r="Q40" s="4" t="s">
        <v>59</v>
      </c>
      <c r="R40" s="4" t="s">
        <v>59</v>
      </c>
      <c r="S40" s="4">
        <v>0.74050000000000005</v>
      </c>
      <c r="T40" s="4">
        <v>0.74050000000000005</v>
      </c>
      <c r="U40" s="4" t="s">
        <v>230</v>
      </c>
      <c r="V40" s="4">
        <v>0.73480000000000001</v>
      </c>
      <c r="W40" s="4">
        <v>0.73480000000000001</v>
      </c>
      <c r="X40" s="4" t="s">
        <v>59</v>
      </c>
      <c r="Y40" s="4" t="s">
        <v>59</v>
      </c>
      <c r="Z40" s="4" t="s">
        <v>59</v>
      </c>
      <c r="AA40" s="4" t="s">
        <v>59</v>
      </c>
    </row>
    <row r="41" spans="1:27" ht="26.25" customHeight="1" x14ac:dyDescent="0.4">
      <c r="A41" s="8" t="s">
        <v>216</v>
      </c>
      <c r="B41" s="1" t="s">
        <v>34</v>
      </c>
      <c r="C41" s="1" t="s">
        <v>231</v>
      </c>
      <c r="D41" s="1" t="s">
        <v>36</v>
      </c>
      <c r="E41" t="s">
        <v>232</v>
      </c>
      <c r="F41" s="14" t="s">
        <v>263</v>
      </c>
      <c r="G41" s="14" t="s">
        <v>265</v>
      </c>
      <c r="H41" s="14" t="s">
        <v>274</v>
      </c>
      <c r="I41" s="14" t="s">
        <v>275</v>
      </c>
      <c r="J41" s="4">
        <v>0.99639999999999995</v>
      </c>
      <c r="K41" s="4" t="s">
        <v>233</v>
      </c>
      <c r="L41" s="4" t="s">
        <v>234</v>
      </c>
      <c r="M41" s="4" t="s">
        <v>233</v>
      </c>
      <c r="N41" s="4">
        <v>0.85719999999999996</v>
      </c>
      <c r="O41" s="4" t="b">
        <f t="shared" si="0"/>
        <v>0</v>
      </c>
      <c r="P41" s="4" t="b">
        <f t="shared" si="1"/>
        <v>0</v>
      </c>
      <c r="Q41" s="4" t="s">
        <v>235</v>
      </c>
      <c r="R41" s="4">
        <v>0.91069999999999995</v>
      </c>
      <c r="S41" s="4">
        <v>0.85780000000000001</v>
      </c>
      <c r="T41" s="4">
        <v>0.85780000000000001</v>
      </c>
      <c r="U41" s="4" t="s">
        <v>236</v>
      </c>
      <c r="V41" s="4">
        <v>0.56720000000000004</v>
      </c>
      <c r="W41" s="4">
        <v>0.27029999999999998</v>
      </c>
      <c r="X41" s="4" t="s">
        <v>59</v>
      </c>
      <c r="Y41" s="4" t="s">
        <v>59</v>
      </c>
      <c r="Z41" s="4" t="s">
        <v>237</v>
      </c>
      <c r="AA41" s="4">
        <v>0.98150000000000004</v>
      </c>
    </row>
    <row r="42" spans="1:27" ht="26.25" customHeight="1" x14ac:dyDescent="0.4">
      <c r="A42" s="3" t="s">
        <v>24</v>
      </c>
      <c r="B42" s="3" t="s">
        <v>24</v>
      </c>
      <c r="E42" t="s">
        <v>238</v>
      </c>
      <c r="F42" s="14" t="s">
        <v>267</v>
      </c>
      <c r="G42" s="14" t="s">
        <v>272</v>
      </c>
      <c r="H42" s="14" t="s">
        <v>273</v>
      </c>
      <c r="I42" s="14" t="s">
        <v>263</v>
      </c>
      <c r="J42" s="4">
        <v>0.99809999999999999</v>
      </c>
      <c r="K42" s="4" t="s">
        <v>239</v>
      </c>
      <c r="L42" s="4" t="s">
        <v>240</v>
      </c>
      <c r="M42" s="4" t="s">
        <v>239</v>
      </c>
      <c r="N42" s="4">
        <v>0.96579999999999999</v>
      </c>
      <c r="O42" s="4" t="b">
        <f t="shared" si="0"/>
        <v>1</v>
      </c>
      <c r="P42" s="4" t="b">
        <f t="shared" si="1"/>
        <v>1</v>
      </c>
      <c r="Q42" s="4" t="s">
        <v>59</v>
      </c>
      <c r="R42" s="4" t="s">
        <v>59</v>
      </c>
      <c r="S42" s="4">
        <v>0.94059999999999999</v>
      </c>
      <c r="T42" s="4">
        <v>0.94059999999999999</v>
      </c>
      <c r="U42" s="4" t="s">
        <v>241</v>
      </c>
      <c r="V42" s="4">
        <v>0.58699999999999997</v>
      </c>
      <c r="W42" s="4">
        <v>0.27500000000000002</v>
      </c>
      <c r="X42" s="4" t="s">
        <v>59</v>
      </c>
      <c r="Y42" s="4" t="s">
        <v>59</v>
      </c>
      <c r="Z42" s="4" t="s">
        <v>59</v>
      </c>
      <c r="AA42" s="4" t="s">
        <v>59</v>
      </c>
    </row>
    <row r="43" spans="1:27" ht="26.25" customHeight="1" x14ac:dyDescent="0.4">
      <c r="A43" s="3" t="s">
        <v>24</v>
      </c>
      <c r="B43" s="3" t="s">
        <v>24</v>
      </c>
      <c r="E43" t="s">
        <v>242</v>
      </c>
      <c r="F43" s="14" t="s">
        <v>270</v>
      </c>
      <c r="G43" s="14" t="s">
        <v>270</v>
      </c>
      <c r="H43" s="14" t="s">
        <v>270</v>
      </c>
      <c r="I43" s="14" t="s">
        <v>270</v>
      </c>
      <c r="J43" s="4">
        <v>0.99419999999999997</v>
      </c>
      <c r="K43" s="4" t="s">
        <v>243</v>
      </c>
      <c r="L43" s="4" t="s">
        <v>118</v>
      </c>
      <c r="M43" s="4" t="s">
        <v>243</v>
      </c>
      <c r="N43" s="4">
        <v>0.99990000000000001</v>
      </c>
      <c r="O43" s="4" t="b">
        <f t="shared" si="0"/>
        <v>1</v>
      </c>
      <c r="P43" s="4" t="b">
        <f t="shared" si="1"/>
        <v>1</v>
      </c>
      <c r="Q43" s="4" t="s">
        <v>59</v>
      </c>
      <c r="R43" s="4" t="s">
        <v>59</v>
      </c>
      <c r="S43" s="4">
        <v>0.99460000000000004</v>
      </c>
      <c r="T43" s="4">
        <v>0.99460000000000004</v>
      </c>
      <c r="U43" s="4" t="s">
        <v>244</v>
      </c>
      <c r="V43" s="4">
        <v>0.71960000000000002</v>
      </c>
      <c r="W43" s="4">
        <v>0.71870000000000001</v>
      </c>
      <c r="X43" s="4" t="s">
        <v>59</v>
      </c>
      <c r="Y43" s="4" t="s">
        <v>59</v>
      </c>
      <c r="Z43" s="4" t="s">
        <v>59</v>
      </c>
      <c r="AA43" s="4" t="s">
        <v>59</v>
      </c>
    </row>
    <row r="44" spans="1:27" ht="26.25" customHeight="1" x14ac:dyDescent="0.4">
      <c r="A44" s="3" t="s">
        <v>24</v>
      </c>
      <c r="B44" s="1" t="s">
        <v>34</v>
      </c>
      <c r="C44" s="1" t="s">
        <v>231</v>
      </c>
      <c r="D44" s="1" t="s">
        <v>36</v>
      </c>
      <c r="E44" t="s">
        <v>245</v>
      </c>
      <c r="F44" s="11" t="s">
        <v>261</v>
      </c>
      <c r="G44" s="11" t="s">
        <v>263</v>
      </c>
      <c r="H44" s="11" t="s">
        <v>263</v>
      </c>
      <c r="I44" s="11" t="s">
        <v>263</v>
      </c>
      <c r="J44" s="4">
        <v>0.99</v>
      </c>
      <c r="K44" s="4" t="s">
        <v>246</v>
      </c>
      <c r="L44" s="4" t="s">
        <v>247</v>
      </c>
      <c r="M44" s="4" t="s">
        <v>248</v>
      </c>
      <c r="N44" s="4">
        <v>0.98399999999999999</v>
      </c>
      <c r="O44" s="4" t="b">
        <f t="shared" si="0"/>
        <v>1</v>
      </c>
      <c r="P44" s="4" t="b">
        <f t="shared" si="1"/>
        <v>1</v>
      </c>
      <c r="Q44" s="4" t="s">
        <v>249</v>
      </c>
      <c r="R44" s="4">
        <v>0.92290000000000005</v>
      </c>
      <c r="S44" s="4">
        <v>0.95220000000000005</v>
      </c>
      <c r="T44" s="4">
        <v>0.94969999999999999</v>
      </c>
      <c r="U44" s="4" t="s">
        <v>250</v>
      </c>
      <c r="V44" s="4">
        <v>0.99909999999999999</v>
      </c>
      <c r="W44" s="4">
        <v>0.95399999999999996</v>
      </c>
      <c r="X44" s="4" t="s">
        <v>59</v>
      </c>
      <c r="Y44" s="4" t="s">
        <v>59</v>
      </c>
      <c r="Z44" s="4" t="s">
        <v>59</v>
      </c>
      <c r="AA44" s="4" t="s">
        <v>59</v>
      </c>
    </row>
    <row r="45" spans="1:27" ht="26.25" customHeight="1" x14ac:dyDescent="0.4">
      <c r="A45" s="3" t="s">
        <v>24</v>
      </c>
      <c r="B45" s="1" t="s">
        <v>34</v>
      </c>
      <c r="C45" s="1" t="s">
        <v>251</v>
      </c>
      <c r="D45" s="1" t="s">
        <v>36</v>
      </c>
      <c r="E45" t="s">
        <v>252</v>
      </c>
      <c r="F45" s="13"/>
      <c r="G45" s="13"/>
      <c r="H45" s="13"/>
      <c r="I45" s="13"/>
      <c r="J45" s="4">
        <v>0.99490000000000001</v>
      </c>
      <c r="K45" s="4" t="s">
        <v>247</v>
      </c>
      <c r="L45" s="4" t="s">
        <v>247</v>
      </c>
      <c r="M45" s="4" t="s">
        <v>247</v>
      </c>
      <c r="N45" s="4">
        <v>0.98499999999999999</v>
      </c>
      <c r="O45" s="4" t="b">
        <f t="shared" si="0"/>
        <v>1</v>
      </c>
      <c r="P45" s="4" t="b">
        <f t="shared" si="1"/>
        <v>1</v>
      </c>
      <c r="Q45" s="4" t="s">
        <v>253</v>
      </c>
      <c r="R45" s="4">
        <v>0.90469999999999995</v>
      </c>
      <c r="S45" s="4">
        <v>0.96730000000000005</v>
      </c>
      <c r="T45" s="4">
        <v>0.96730000000000005</v>
      </c>
      <c r="U45" s="4" t="s">
        <v>250</v>
      </c>
      <c r="V45" s="4">
        <v>0.99909999999999999</v>
      </c>
      <c r="W45" s="4">
        <v>0.99909999999999999</v>
      </c>
      <c r="X45" s="4" t="s">
        <v>59</v>
      </c>
      <c r="Y45" s="4" t="s">
        <v>59</v>
      </c>
      <c r="Z45" s="4" t="s">
        <v>59</v>
      </c>
      <c r="AA45" s="4" t="s">
        <v>59</v>
      </c>
    </row>
    <row r="47" spans="1:27" x14ac:dyDescent="0.4">
      <c r="J47" s="9">
        <f>AVERAGE(J2:J45)</f>
        <v>0.98962045454545455</v>
      </c>
      <c r="O47" s="1">
        <f>SUM(O2:O45)</f>
        <v>0</v>
      </c>
      <c r="P47" s="1">
        <f>SUM(P2:P45)</f>
        <v>0</v>
      </c>
    </row>
    <row r="48" spans="1:27" x14ac:dyDescent="0.4">
      <c r="J48" s="1">
        <f>MEDIAN(J2:J45)</f>
        <v>0.99439999999999995</v>
      </c>
    </row>
    <row r="49" spans="1:10" x14ac:dyDescent="0.4">
      <c r="J49" s="1">
        <f>MIN(J2:J45)</f>
        <v>0.95150000000000001</v>
      </c>
    </row>
    <row r="50" spans="1:10" x14ac:dyDescent="0.4">
      <c r="A50" s="1" t="s">
        <v>254</v>
      </c>
    </row>
    <row r="51" spans="1:10" x14ac:dyDescent="0.4">
      <c r="A51" s="1" t="s">
        <v>255</v>
      </c>
    </row>
    <row r="52" spans="1:10" x14ac:dyDescent="0.4">
      <c r="A52" s="1" t="s">
        <v>256</v>
      </c>
    </row>
  </sheetData>
  <mergeCells count="28">
    <mergeCell ref="F44:F45"/>
    <mergeCell ref="G44:G45"/>
    <mergeCell ref="H44:H45"/>
    <mergeCell ref="I44:I45"/>
    <mergeCell ref="F27:F28"/>
    <mergeCell ref="G27:G28"/>
    <mergeCell ref="H27:H28"/>
    <mergeCell ref="I27:I28"/>
    <mergeCell ref="F30:F31"/>
    <mergeCell ref="G30:G31"/>
    <mergeCell ref="H30:H31"/>
    <mergeCell ref="I30:I31"/>
    <mergeCell ref="F8:F9"/>
    <mergeCell ref="G8:G9"/>
    <mergeCell ref="H8:H9"/>
    <mergeCell ref="I8:I9"/>
    <mergeCell ref="F11:F13"/>
    <mergeCell ref="G11:G13"/>
    <mergeCell ref="H11:H13"/>
    <mergeCell ref="I11:I13"/>
    <mergeCell ref="F2:F4"/>
    <mergeCell ref="G2:G4"/>
    <mergeCell ref="H2:H4"/>
    <mergeCell ref="I2:I4"/>
    <mergeCell ref="F5:F7"/>
    <mergeCell ref="G5:G7"/>
    <mergeCell ref="H5:H7"/>
    <mergeCell ref="I5:I7"/>
  </mergeCells>
  <phoneticPr fontId="6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Mo Liu</cp:lastModifiedBy>
  <cp:revision>1</cp:revision>
  <dcterms:created xsi:type="dcterms:W3CDTF">2026-03-27T07:28:12Z</dcterms:created>
  <dcterms:modified xsi:type="dcterms:W3CDTF">2026-04-05T03:23:12Z</dcterms:modified>
  <dc:language>en-US</dc:language>
</cp:coreProperties>
</file>