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<sst xmlns="http://schemas.openxmlformats.org/spreadsheetml/2006/main" count="585" uniqueCount="257">
  <si>
    <t xml:space="preserve">83Cat</t>
  </si>
  <si>
    <t xml:space="preserve">89Cat</t>
  </si>
  <si>
    <t xml:space="preserve">Potential Etiology</t>
  </si>
  <si>
    <t xml:space="preserve">Why this etiology?</t>
  </si>
  <si>
    <t xml:space="preserve">89-Type Classification Signature ID</t>
  </si>
  <si>
    <t xml:space="preserve">Cosine vs Extracted 476-Type Sig Collapsed to 89-Type</t>
  </si>
  <si>
    <t xml:space="preserve">BestMatch89 Linki+F1:F20ng Tumor</t>
  </si>
  <si>
    <t xml:space="preserve">BestMatch83 Tumor</t>
  </si>
  <si>
    <t xml:space="preserve">BestMatch476 Tumor</t>
  </si>
  <si>
    <t xml:space="preserve">Cosine 89-Type Sig vs BestMatch89 Spectrum</t>
  </si>
  <si>
    <t xml:space="preserve">&gt; 0.95</t>
  </si>
  <si>
    <t xml:space="preserve">&gt;0.9</t>
  </si>
  <si>
    <t xml:space="preserve">Best Match to Koh et al., 2025</t>
  </si>
  <si>
    <t xml:space="preserve">Cosine 89-Type Sig vs Koh et al.</t>
  </si>
  <si>
    <t xml:space="preserve">Cosine 476-Type Sig vs BestMatch476 Spectrum</t>
  </si>
  <si>
    <t xml:space="preserve">Cosine 476-Type Sig vs BestMatch89 476-Spectrum</t>
  </si>
  <si>
    <t xml:space="preserve">Extracted 83-Type Sig ID</t>
  </si>
  <si>
    <t xml:space="preserve">Cosine 83-Type Sig vs BestMatch83 Spectrum</t>
  </si>
  <si>
    <t xml:space="preserve">Cosine 83-Type Sig vs BestMatch89 83-Spectrum</t>
  </si>
  <si>
    <t xml:space="preserve">Closest COSMIC Sig ID</t>
  </si>
  <si>
    <t xml:space="preserve">Cosine of COSMIC Sig</t>
  </si>
  <si>
    <t xml:space="preserve">Closest Sig from Jin et al., 2024</t>
  </si>
  <si>
    <t xml:space="preserve">Cosine vs Jin et al.</t>
  </si>
  <si>
    <t xml:space="preserve">COSMIC and Jin</t>
  </si>
  <si>
    <t xml:space="preserve">Novel</t>
  </si>
  <si>
    <t xml:space="preserve">Replication slippage</t>
  </si>
  <si>
    <t xml:space="preserve">It is prevalent in most tumors in all tumortypes</t>
  </si>
  <si>
    <t xml:space="preserve">InsDel1a</t>
  </si>
  <si>
    <t xml:space="preserve">CPCT02050439T</t>
  </si>
  <si>
    <t xml:space="preserve">SP107784</t>
  </si>
  <si>
    <t xml:space="preserve">InD14</t>
  </si>
  <si>
    <t xml:space="preserve">C_ID1</t>
  </si>
  <si>
    <t xml:space="preserve">ID1</t>
  </si>
  <si>
    <t xml:space="preserve">ID1*</t>
  </si>
  <si>
    <t xml:space="preserve">Koh</t>
  </si>
  <si>
    <t xml:space="preserve">POLE </t>
  </si>
  <si>
    <t xml:space="preserve">Koh's paper</t>
  </si>
  <si>
    <t xml:space="preserve">InsDel1b</t>
  </si>
  <si>
    <t xml:space="preserve">SP21400</t>
  </si>
  <si>
    <t xml:space="preserve">SP16886</t>
  </si>
  <si>
    <t xml:space="preserve">InD15</t>
  </si>
  <si>
    <t xml:space="preserve">POLD1</t>
  </si>
  <si>
    <t xml:space="preserve">InsDel1c</t>
  </si>
  <si>
    <t xml:space="preserve">SP112907</t>
  </si>
  <si>
    <t xml:space="preserve">SP125809</t>
  </si>
  <si>
    <t xml:space="preserve">InD14*</t>
  </si>
  <si>
    <t xml:space="preserve">Replication Slippage</t>
  </si>
  <si>
    <t xml:space="preserve">InsDel2a</t>
  </si>
  <si>
    <t xml:space="preserve">SP17172</t>
  </si>
  <si>
    <t xml:space="preserve">DRUP01080031T</t>
  </si>
  <si>
    <t xml:space="preserve">CPCT02011050T</t>
  </si>
  <si>
    <t xml:space="preserve">InD2a</t>
  </si>
  <si>
    <t xml:space="preserve">C_ID2</t>
  </si>
  <si>
    <t xml:space="preserve">ID2</t>
  </si>
  <si>
    <t xml:space="preserve">ID2*</t>
  </si>
  <si>
    <t xml:space="preserve">dMMR</t>
  </si>
  <si>
    <t xml:space="preserve">Enriched in MSI tumors in our analysis</t>
  </si>
  <si>
    <t xml:space="preserve">InsDel2b</t>
  </si>
  <si>
    <t xml:space="preserve">SP96118</t>
  </si>
  <si>
    <t xml:space="preserve">NA</t>
  </si>
  <si>
    <t xml:space="preserve">InsDel2c</t>
  </si>
  <si>
    <t xml:space="preserve">DRUP01330020T</t>
  </si>
  <si>
    <t xml:space="preserve">Tobacco smoking like in bladder</t>
  </si>
  <si>
    <t xml:space="preserve">it's 83 looks like ID3, and was found more in Bladder tumor</t>
  </si>
  <si>
    <t xml:space="preserve">InsDel3a</t>
  </si>
  <si>
    <t xml:space="preserve">CPCT02050436T</t>
  </si>
  <si>
    <t xml:space="preserve">CPCT02020815T</t>
  </si>
  <si>
    <t xml:space="preserve">CPCT02040317T</t>
  </si>
  <si>
    <t xml:space="preserve">C_ID3</t>
  </si>
  <si>
    <t xml:space="preserve">ID3</t>
  </si>
  <si>
    <t xml:space="preserve">ID3*</t>
  </si>
  <si>
    <t xml:space="preserve">Tobacco smoking in lung</t>
  </si>
  <si>
    <t xml:space="preserve">Well known</t>
  </si>
  <si>
    <t xml:space="preserve">InsDel3b</t>
  </si>
  <si>
    <t xml:space="preserve">CPCT02080086T</t>
  </si>
  <si>
    <t xml:space="preserve">InD3b</t>
  </si>
  <si>
    <t xml:space="preserve">COSMIC</t>
  </si>
  <si>
    <t xml:space="preserve">InsDel4</t>
  </si>
  <si>
    <t xml:space="preserve">SP48008</t>
  </si>
  <si>
    <t xml:space="preserve">SP23925</t>
  </si>
  <si>
    <t xml:space="preserve">InD4a</t>
  </si>
  <si>
    <t xml:space="preserve">C_ID4</t>
  </si>
  <si>
    <t xml:space="preserve">COSMIC </t>
  </si>
  <si>
    <t xml:space="preserve">Clock-like in Kidney</t>
  </si>
  <si>
    <t xml:space="preserve">Mo will confirm this. Old analysis (Uncap9 indels) shows this</t>
  </si>
  <si>
    <t xml:space="preserve">InsDel5a</t>
  </si>
  <si>
    <t xml:space="preserve">SP97194</t>
  </si>
  <si>
    <t xml:space="preserve">SP102755</t>
  </si>
  <si>
    <t xml:space="preserve">InD29</t>
  </si>
  <si>
    <t xml:space="preserve">C_ID5</t>
  </si>
  <si>
    <t xml:space="preserve">ID5</t>
  </si>
  <si>
    <t xml:space="preserve">Clock-like in Liver</t>
  </si>
  <si>
    <t xml:space="preserve">InsDel5b</t>
  </si>
  <si>
    <t xml:space="preserve">SP112290</t>
  </si>
  <si>
    <t xml:space="preserve">InsDel5c</t>
  </si>
  <si>
    <t xml:space="preserve">SP8564</t>
  </si>
  <si>
    <t xml:space="preserve">SP28659</t>
  </si>
  <si>
    <t xml:space="preserve">defective HR</t>
  </si>
  <si>
    <t xml:space="preserve">InsDel6</t>
  </si>
  <si>
    <t xml:space="preserve">SP102035</t>
  </si>
  <si>
    <t xml:space="preserve">SP67609</t>
  </si>
  <si>
    <t xml:space="preserve">InD6</t>
  </si>
  <si>
    <t xml:space="preserve">C_ID6</t>
  </si>
  <si>
    <t xml:space="preserve">ID6</t>
  </si>
  <si>
    <t xml:space="preserve">Well known + Enriched in MSI tumors in our analysis</t>
  </si>
  <si>
    <t xml:space="preserve">InsDel7</t>
  </si>
  <si>
    <t xml:space="preserve">WIDE01010075T</t>
  </si>
  <si>
    <t xml:space="preserve">SP13539</t>
  </si>
  <si>
    <t xml:space="preserve">InD7</t>
  </si>
  <si>
    <t xml:space="preserve">C_ID7</t>
  </si>
  <si>
    <t xml:space="preserve">ID7</t>
  </si>
  <si>
    <t xml:space="preserve">Repair of DNA DSB by NHEJ</t>
  </si>
  <si>
    <t xml:space="preserve">InsDel8</t>
  </si>
  <si>
    <t xml:space="preserve">CPCT02070336T</t>
  </si>
  <si>
    <t xml:space="preserve">InD8</t>
  </si>
  <si>
    <t xml:space="preserve">C_ID8</t>
  </si>
  <si>
    <t xml:space="preserve">ID8</t>
  </si>
  <si>
    <t xml:space="preserve">InsDel9</t>
  </si>
  <si>
    <t xml:space="preserve">SP102617</t>
  </si>
  <si>
    <t xml:space="preserve">SP116520</t>
  </si>
  <si>
    <t xml:space="preserve">InD9b</t>
  </si>
  <si>
    <t xml:space="preserve">C_ID9</t>
  </si>
  <si>
    <t xml:space="preserve">InsDel10</t>
  </si>
  <si>
    <t xml:space="preserve">SP109957</t>
  </si>
  <si>
    <t xml:space="preserve">C_ID10</t>
  </si>
  <si>
    <t xml:space="preserve">ID10</t>
  </si>
  <si>
    <t xml:space="preserve">InsDel11</t>
  </si>
  <si>
    <t xml:space="preserve">SP77956</t>
  </si>
  <si>
    <t xml:space="preserve">C_ID11</t>
  </si>
  <si>
    <t xml:space="preserve">ID11</t>
  </si>
  <si>
    <t xml:space="preserve">ID11a</t>
  </si>
  <si>
    <t xml:space="preserve">InsDel12</t>
  </si>
  <si>
    <t xml:space="preserve">SP112947</t>
  </si>
  <si>
    <t xml:space="preserve">SP112985</t>
  </si>
  <si>
    <t xml:space="preserve">C_ID12</t>
  </si>
  <si>
    <t xml:space="preserve">ID12</t>
  </si>
  <si>
    <t xml:space="preserve">UV exposure</t>
  </si>
  <si>
    <t xml:space="preserve">InsDel13</t>
  </si>
  <si>
    <t xml:space="preserve">CPCT02060291T</t>
  </si>
  <si>
    <t xml:space="preserve">CPCT02050424T</t>
  </si>
  <si>
    <t xml:space="preserve">InD13*</t>
  </si>
  <si>
    <t xml:space="preserve">C_ID13</t>
  </si>
  <si>
    <t xml:space="preserve">ID13</t>
  </si>
  <si>
    <t xml:space="preserve">SBS93 associated, enriched in Gastric cancer</t>
  </si>
  <si>
    <t xml:space="preserve">High correlation with SBS93 in our analysis</t>
  </si>
  <si>
    <t xml:space="preserve">InsDel14</t>
  </si>
  <si>
    <t xml:space="preserve">CPCT02340014T</t>
  </si>
  <si>
    <t xml:space="preserve">CPCT02050104T</t>
  </si>
  <si>
    <t xml:space="preserve">InD12</t>
  </si>
  <si>
    <t xml:space="preserve">C_ID14</t>
  </si>
  <si>
    <t xml:space="preserve">ID14</t>
  </si>
  <si>
    <t xml:space="preserve">InsDel15</t>
  </si>
  <si>
    <t xml:space="preserve">WES::TCGA-EW-A2FV-01A-11D-A17D-09</t>
  </si>
  <si>
    <t xml:space="preserve">C_ID15</t>
  </si>
  <si>
    <t xml:space="preserve">ID15</t>
  </si>
  <si>
    <t xml:space="preserve">InsDel16</t>
  </si>
  <si>
    <t xml:space="preserve">WES::TCGA-13-0889-01A-01W-0420-08</t>
  </si>
  <si>
    <t xml:space="preserve">C_ID16</t>
  </si>
  <si>
    <t xml:space="preserve">ID16</t>
  </si>
  <si>
    <t xml:space="preserve">TOP2A pK743N</t>
  </si>
  <si>
    <t xml:space="preserve">InsDel17</t>
  </si>
  <si>
    <t xml:space="preserve">CPCT02250003T</t>
  </si>
  <si>
    <t xml:space="preserve">C_ID17</t>
  </si>
  <si>
    <t xml:space="preserve">ID17</t>
  </si>
  <si>
    <t xml:space="preserve">Colibactin</t>
  </si>
  <si>
    <t xml:space="preserve">InsDel18</t>
  </si>
  <si>
    <t xml:space="preserve">CPCT02070053T</t>
  </si>
  <si>
    <t xml:space="preserve">InD18</t>
  </si>
  <si>
    <t xml:space="preserve">C_ID18</t>
  </si>
  <si>
    <t xml:space="preserve">ID18</t>
  </si>
  <si>
    <t xml:space="preserve">InsDel19a</t>
  </si>
  <si>
    <t xml:space="preserve">CPCT02010408TII</t>
  </si>
  <si>
    <t xml:space="preserve">CPCT02080139T</t>
  </si>
  <si>
    <t xml:space="preserve">CPCT02010408T</t>
  </si>
  <si>
    <t xml:space="preserve">C_ID19</t>
  </si>
  <si>
    <t xml:space="preserve">InsDel19b</t>
  </si>
  <si>
    <t xml:space="preserve">CPCT02050192T</t>
  </si>
  <si>
    <t xml:space="preserve">CPCT02340081T</t>
  </si>
  <si>
    <t xml:space="preserve">AA exposure</t>
  </si>
  <si>
    <t xml:space="preserve">InsDel23</t>
  </si>
  <si>
    <t xml:space="preserve">SP102957</t>
  </si>
  <si>
    <t xml:space="preserve">C_ID23</t>
  </si>
  <si>
    <t xml:space="preserve">ID23</t>
  </si>
  <si>
    <t xml:space="preserve">InsDel_Aα</t>
  </si>
  <si>
    <t xml:space="preserve">CPCT02120078T</t>
  </si>
  <si>
    <t xml:space="preserve">SP2293</t>
  </si>
  <si>
    <t xml:space="preserve">ID_A</t>
  </si>
  <si>
    <t xml:space="preserve">APOBEC associated</t>
  </si>
  <si>
    <t xml:space="preserve">InsDel_Aβ</t>
  </si>
  <si>
    <t xml:space="preserve">InD9a</t>
  </si>
  <si>
    <t xml:space="preserve">InsDel_B</t>
  </si>
  <si>
    <t xml:space="preserve">CPCT02020413T</t>
  </si>
  <si>
    <t xml:space="preserve">SP116578</t>
  </si>
  <si>
    <t xml:space="preserve">ID_B</t>
  </si>
  <si>
    <t xml:space="preserve">InsDel_C</t>
  </si>
  <si>
    <t xml:space="preserve">CPCT02010772T</t>
  </si>
  <si>
    <t xml:space="preserve">InD13</t>
  </si>
  <si>
    <t xml:space="preserve">ID_C</t>
  </si>
  <si>
    <t xml:space="preserve">MSI (Insertions dominated)</t>
  </si>
  <si>
    <t xml:space="preserve">InsDel_D</t>
  </si>
  <si>
    <t xml:space="preserve">CPCT02100101T</t>
  </si>
  <si>
    <t xml:space="preserve">SP116834</t>
  </si>
  <si>
    <t xml:space="preserve">SP102133</t>
  </si>
  <si>
    <t xml:space="preserve">InD1</t>
  </si>
  <si>
    <t xml:space="preserve">ID_D</t>
  </si>
  <si>
    <t xml:space="preserve">InsDel_E</t>
  </si>
  <si>
    <t xml:space="preserve">DRUP01340014T</t>
  </si>
  <si>
    <t xml:space="preserve">DRUP01340015T</t>
  </si>
  <si>
    <t xml:space="preserve">ID_E</t>
  </si>
  <si>
    <t xml:space="preserve">TOP1 TAM</t>
  </si>
  <si>
    <t xml:space="preserve">Reijn's paper</t>
  </si>
  <si>
    <t xml:space="preserve">InsDel_F</t>
  </si>
  <si>
    <t xml:space="preserve">DRUP01030028T</t>
  </si>
  <si>
    <t xml:space="preserve">SP5559</t>
  </si>
  <si>
    <t xml:space="preserve">ID_F</t>
  </si>
  <si>
    <t xml:space="preserve">ID4</t>
  </si>
  <si>
    <t xml:space="preserve">Jin</t>
  </si>
  <si>
    <t xml:space="preserve">InsDel_G</t>
  </si>
  <si>
    <t xml:space="preserve">DRUP01030015T</t>
  </si>
  <si>
    <t xml:space="preserve">ID_G</t>
  </si>
  <si>
    <t xml:space="preserve">ID11b</t>
  </si>
  <si>
    <t xml:space="preserve">InsDel_H</t>
  </si>
  <si>
    <t xml:space="preserve">CPCT02010648T</t>
  </si>
  <si>
    <t xml:space="preserve">ID_H</t>
  </si>
  <si>
    <t xml:space="preserve">InsDel_I</t>
  </si>
  <si>
    <t xml:space="preserve">SP107439</t>
  </si>
  <si>
    <t xml:space="preserve">ID_I</t>
  </si>
  <si>
    <t xml:space="preserve">ID25</t>
  </si>
  <si>
    <t xml:space="preserve">InsDel_J</t>
  </si>
  <si>
    <t xml:space="preserve">SP112959</t>
  </si>
  <si>
    <t xml:space="preserve">ID_J</t>
  </si>
  <si>
    <t xml:space="preserve">POLE  + dMMR</t>
  </si>
  <si>
    <t xml:space="preserve">InsDel_K</t>
  </si>
  <si>
    <t xml:space="preserve">SP17905</t>
  </si>
  <si>
    <t xml:space="preserve">SP112257</t>
  </si>
  <si>
    <t xml:space="preserve">InD20</t>
  </si>
  <si>
    <t xml:space="preserve">ID_K</t>
  </si>
  <si>
    <t xml:space="preserve">ID26</t>
  </si>
  <si>
    <t xml:space="preserve">InsDel_L</t>
  </si>
  <si>
    <t xml:space="preserve">CPCT02450014T</t>
  </si>
  <si>
    <t xml:space="preserve">SP70106</t>
  </si>
  <si>
    <t xml:space="preserve">ID_L</t>
  </si>
  <si>
    <t xml:space="preserve">InsDel_M</t>
  </si>
  <si>
    <t xml:space="preserve">SP112777</t>
  </si>
  <si>
    <t xml:space="preserve">ID_M</t>
  </si>
  <si>
    <t xml:space="preserve">InsDel_Nα</t>
  </si>
  <si>
    <t xml:space="preserve">SP93227</t>
  </si>
  <si>
    <t xml:space="preserve">SP111038</t>
  </si>
  <si>
    <t xml:space="preserve">SP90209</t>
  </si>
  <si>
    <t xml:space="preserve">InD16b</t>
  </si>
  <si>
    <t xml:space="preserve">ID_N</t>
  </si>
  <si>
    <t xml:space="preserve">POLD1+dMMR</t>
  </si>
  <si>
    <t xml:space="preserve">InsDel_Nβ</t>
  </si>
  <si>
    <t xml:space="preserve">InD21</t>
  </si>
  <si>
    <t xml:space="preserve">we found 34 ID83: 13 novel sigs (16 if not considered Jin's paper)</t>
  </si>
  <si>
    <t xml:space="preserve">we found 44 ID89: 26 novel sigs</t>
  </si>
  <si>
    <t xml:space="preserve">we found 44 ID476: 44 novel sigs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</si>
</sst>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0.00000"/>
  </numFmts>
  <fonts count="8">
    <font>
      <sz val="11"/>
      <color theme="1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HarmonyOS Sans SC"/>
      <family val="3"/>
      <charset val="134"/>
    </font>
    <font>
      <b val="true"/>
      <sz val="9.6"/>
      <color rgb="FF212529"/>
      <name val="HarmonyOS Sans SC"/>
      <family val="3"/>
      <charset val="134"/>
    </font>
    <font>
      <sz val="9.6"/>
      <color rgb="FF212529"/>
      <name val="HarmonyOS Sans SC"/>
      <family val="3"/>
      <charset val="134"/>
    </font>
    <font>
      <sz val="9.6"/>
      <color rgb="FFB0B0B0"/>
      <name val="HarmonyOS Sans SC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theme="9" tint="0.5999"/>
        <bgColor rgb="FFD4EA6B"/>
      </patternFill>
    </fill>
    <fill>
      <patternFill patternType="solid">
        <fgColor rgb="FFD4EA6B"/>
        <bgColor rgb="FFC5E0B4"/>
      </patternFill>
    </fill>
    <fill>
      <patternFill patternType="solid">
        <fgColor theme="7" tint="0.799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2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1" ySplit="1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D8" activeCellId="0" sqref="D8"/>
    </sheetView>
  </sheetViews>
  <sheetFormatPr defaultColWidth="9.06640625" defaultRowHeight="15.75" customHeight="false" zeroHeight="false" outlineLevelRow="0" outlineLevelCol="0"/>
  <cols>
    <col collapsed="false" customWidth="true" hidden="false" outlineLevel="0" max="1" min="1" style="1" width="17.26"/>
    <col collapsed="false" customWidth="true" hidden="false" outlineLevel="0" max="2" min="2" style="1" width="18.34"/>
    <col collapsed="false" customWidth="true" hidden="false" outlineLevel="0" max="3" min="3" style="2" width="44.47"/>
    <col collapsed="false" customWidth="true" hidden="false" outlineLevel="0" max="4" min="4" style="2" width="61.54"/>
    <col collapsed="false" customWidth="true" hidden="false" outlineLevel="0" max="5" min="5" style="1" width="10.73"/>
    <col collapsed="false" customWidth="true" hidden="false" outlineLevel="0" max="6" min="6" style="1" width="19.87"/>
    <col collapsed="false" customWidth="false" hidden="false" outlineLevel="0" max="16384" min="7" style="1" width="9.07"/>
  </cols>
  <sheetData>
    <row r="1" customFormat="false" ht="80.7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customFormat="false" ht="26.25" hidden="false" customHeight="true" outlineLevel="0" collapsed="false">
      <c r="A2" s="1" t="s">
        <v>23</v>
      </c>
      <c r="B2" s="4" t="s">
        <v>24</v>
      </c>
      <c r="C2" s="2" t="s">
        <v>25</v>
      </c>
      <c r="D2" s="2" t="s">
        <v>26</v>
      </c>
      <c r="E2" s="5" t="s">
        <v>27</v>
      </c>
      <c r="F2" s="6" t="n">
        <v>0.9923</v>
      </c>
      <c r="G2" s="6" t="s">
        <v>28</v>
      </c>
      <c r="H2" s="6" t="s">
        <v>29</v>
      </c>
      <c r="I2" s="6" t="s">
        <v>28</v>
      </c>
      <c r="J2" s="6" t="n">
        <v>0.9831</v>
      </c>
      <c r="K2" s="7" t="n">
        <f aca="false">J2&gt;0.95</f>
        <v>1</v>
      </c>
      <c r="L2" s="8" t="b">
        <f aca="false">J2&gt;0.9</f>
        <v>1</v>
      </c>
      <c r="M2" s="9" t="s">
        <v>30</v>
      </c>
      <c r="N2" s="9" t="n">
        <v>0.9023</v>
      </c>
      <c r="O2" s="6" t="n">
        <v>0.9771</v>
      </c>
      <c r="P2" s="6" t="n">
        <v>0.9771</v>
      </c>
      <c r="Q2" s="6" t="s">
        <v>31</v>
      </c>
      <c r="R2" s="6" t="n">
        <v>0.9986</v>
      </c>
      <c r="S2" s="6" t="n">
        <v>0.9958</v>
      </c>
      <c r="T2" s="6" t="s">
        <v>32</v>
      </c>
      <c r="U2" s="6" t="n">
        <v>0.9845</v>
      </c>
      <c r="V2" s="6" t="s">
        <v>33</v>
      </c>
      <c r="W2" s="6" t="n">
        <v>0.9849</v>
      </c>
    </row>
    <row r="3" customFormat="false" ht="26.25" hidden="false" customHeight="true" outlineLevel="0" collapsed="false">
      <c r="A3" s="1" t="s">
        <v>23</v>
      </c>
      <c r="B3" s="1" t="s">
        <v>34</v>
      </c>
      <c r="C3" s="2" t="s">
        <v>35</v>
      </c>
      <c r="D3" s="2" t="s">
        <v>36</v>
      </c>
      <c r="E3" s="5" t="s">
        <v>37</v>
      </c>
      <c r="F3" s="6" t="n">
        <v>0.9925</v>
      </c>
      <c r="G3" s="6" t="s">
        <v>38</v>
      </c>
      <c r="H3" s="6" t="s">
        <v>29</v>
      </c>
      <c r="I3" s="6" t="s">
        <v>39</v>
      </c>
      <c r="J3" s="6" t="n">
        <v>0.985</v>
      </c>
      <c r="K3" s="8" t="n">
        <f aca="false">J3&gt;0.95</f>
        <v>1</v>
      </c>
      <c r="L3" s="8" t="n">
        <f aca="false">J3&gt;0.9</f>
        <v>1</v>
      </c>
      <c r="M3" s="6" t="s">
        <v>40</v>
      </c>
      <c r="N3" s="6" t="n">
        <v>0.9796</v>
      </c>
      <c r="O3" s="6" t="n">
        <v>0.9714</v>
      </c>
      <c r="P3" s="6" t="n">
        <v>0.9701</v>
      </c>
      <c r="Q3" s="6" t="s">
        <v>31</v>
      </c>
      <c r="R3" s="6" t="n">
        <v>0.9986</v>
      </c>
      <c r="S3" s="6" t="n">
        <v>0.9847</v>
      </c>
      <c r="T3" s="6" t="s">
        <v>32</v>
      </c>
      <c r="U3" s="6" t="n">
        <v>0.9845</v>
      </c>
      <c r="V3" s="9" t="s">
        <v>32</v>
      </c>
      <c r="W3" s="9" t="n">
        <v>0.9849</v>
      </c>
    </row>
    <row r="4" customFormat="false" ht="26.25" hidden="false" customHeight="true" outlineLevel="0" collapsed="false">
      <c r="A4" s="1" t="s">
        <v>23</v>
      </c>
      <c r="B4" s="1" t="s">
        <v>34</v>
      </c>
      <c r="C4" s="2" t="s">
        <v>41</v>
      </c>
      <c r="D4" s="2" t="s">
        <v>36</v>
      </c>
      <c r="E4" s="5" t="s">
        <v>42</v>
      </c>
      <c r="F4" s="6" t="n">
        <v>0.9819</v>
      </c>
      <c r="G4" s="6" t="s">
        <v>43</v>
      </c>
      <c r="H4" s="6" t="s">
        <v>29</v>
      </c>
      <c r="I4" s="6" t="s">
        <v>44</v>
      </c>
      <c r="J4" s="6" t="n">
        <v>0.9675</v>
      </c>
      <c r="K4" s="8" t="n">
        <f aca="false">J4&gt;0.95</f>
        <v>1</v>
      </c>
      <c r="L4" s="8" t="n">
        <f aca="false">J4&gt;0.9</f>
        <v>1</v>
      </c>
      <c r="M4" s="6" t="s">
        <v>45</v>
      </c>
      <c r="N4" s="6" t="n">
        <v>0.9415</v>
      </c>
      <c r="O4" s="6" t="n">
        <v>0.9082</v>
      </c>
      <c r="P4" s="6" t="n">
        <v>0.9009</v>
      </c>
      <c r="Q4" s="6" t="s">
        <v>31</v>
      </c>
      <c r="R4" s="6" t="n">
        <v>0.9986</v>
      </c>
      <c r="S4" s="6" t="n">
        <v>0.9915</v>
      </c>
      <c r="T4" s="6" t="s">
        <v>32</v>
      </c>
      <c r="U4" s="6" t="n">
        <v>0.9845</v>
      </c>
      <c r="V4" s="9" t="s">
        <v>32</v>
      </c>
      <c r="W4" s="9" t="n">
        <v>0.9849</v>
      </c>
    </row>
    <row r="5" customFormat="false" ht="26.25" hidden="false" customHeight="true" outlineLevel="0" collapsed="false">
      <c r="A5" s="1" t="s">
        <v>23</v>
      </c>
      <c r="B5" s="1" t="s">
        <v>34</v>
      </c>
      <c r="C5" s="2" t="s">
        <v>46</v>
      </c>
      <c r="D5" s="2" t="s">
        <v>36</v>
      </c>
      <c r="E5" s="5" t="s">
        <v>47</v>
      </c>
      <c r="F5" s="6" t="n">
        <v>0.9853</v>
      </c>
      <c r="G5" s="6" t="s">
        <v>48</v>
      </c>
      <c r="H5" s="6" t="s">
        <v>49</v>
      </c>
      <c r="I5" s="6" t="s">
        <v>50</v>
      </c>
      <c r="J5" s="6" t="n">
        <v>0.971</v>
      </c>
      <c r="K5" s="8" t="n">
        <f aca="false">J5&gt;0.95</f>
        <v>1</v>
      </c>
      <c r="L5" s="8" t="n">
        <f aca="false">J5&gt;0.9</f>
        <v>1</v>
      </c>
      <c r="M5" s="6" t="s">
        <v>51</v>
      </c>
      <c r="N5" s="6" t="n">
        <v>0.9824</v>
      </c>
      <c r="O5" s="6" t="n">
        <v>0.9802</v>
      </c>
      <c r="P5" s="6" t="n">
        <v>0.9726</v>
      </c>
      <c r="Q5" s="6" t="s">
        <v>52</v>
      </c>
      <c r="R5" s="6" t="n">
        <v>0.9996</v>
      </c>
      <c r="S5" s="6" t="n">
        <v>0.9986</v>
      </c>
      <c r="T5" s="6" t="s">
        <v>53</v>
      </c>
      <c r="U5" s="6" t="n">
        <v>0.9799</v>
      </c>
      <c r="V5" s="6" t="s">
        <v>54</v>
      </c>
      <c r="W5" s="6" t="n">
        <v>0.9932</v>
      </c>
    </row>
    <row r="6" customFormat="false" ht="26.25" hidden="false" customHeight="true" outlineLevel="0" collapsed="false">
      <c r="A6" s="1" t="s">
        <v>23</v>
      </c>
      <c r="B6" s="4" t="s">
        <v>24</v>
      </c>
      <c r="C6" s="2" t="s">
        <v>55</v>
      </c>
      <c r="D6" s="10" t="s">
        <v>56</v>
      </c>
      <c r="E6" s="5" t="s">
        <v>57</v>
      </c>
      <c r="F6" s="6" t="n">
        <v>0.9858</v>
      </c>
      <c r="G6" s="6" t="s">
        <v>58</v>
      </c>
      <c r="H6" s="6" t="s">
        <v>49</v>
      </c>
      <c r="I6" s="6" t="s">
        <v>58</v>
      </c>
      <c r="J6" s="6" t="n">
        <v>0.9645</v>
      </c>
      <c r="K6" s="8" t="n">
        <f aca="false">J6&gt;0.95</f>
        <v>1</v>
      </c>
      <c r="L6" s="8" t="n">
        <f aca="false">J6&gt;0.9</f>
        <v>1</v>
      </c>
      <c r="M6" s="6" t="s">
        <v>59</v>
      </c>
      <c r="N6" s="6" t="s">
        <v>59</v>
      </c>
      <c r="O6" s="6" t="n">
        <v>0.9659</v>
      </c>
      <c r="P6" s="6" t="n">
        <v>0.9659</v>
      </c>
      <c r="Q6" s="6" t="s">
        <v>52</v>
      </c>
      <c r="R6" s="6" t="n">
        <v>0.9996</v>
      </c>
      <c r="S6" s="6" t="n">
        <v>0.9857</v>
      </c>
      <c r="T6" s="6" t="s">
        <v>53</v>
      </c>
      <c r="U6" s="6" t="n">
        <v>0.9799</v>
      </c>
      <c r="V6" s="9" t="s">
        <v>53</v>
      </c>
      <c r="W6" s="9" t="n">
        <v>0.9932</v>
      </c>
    </row>
    <row r="7" customFormat="false" ht="26.25" hidden="false" customHeight="true" outlineLevel="0" collapsed="false">
      <c r="A7" s="1" t="s">
        <v>23</v>
      </c>
      <c r="B7" s="4" t="s">
        <v>24</v>
      </c>
      <c r="C7" s="2" t="s">
        <v>55</v>
      </c>
      <c r="D7" s="10" t="s">
        <v>56</v>
      </c>
      <c r="E7" s="5" t="s">
        <v>60</v>
      </c>
      <c r="F7" s="6" t="n">
        <v>0.9842</v>
      </c>
      <c r="G7" s="6" t="s">
        <v>61</v>
      </c>
      <c r="H7" s="6" t="s">
        <v>49</v>
      </c>
      <c r="I7" s="6" t="s">
        <v>61</v>
      </c>
      <c r="J7" s="6" t="n">
        <v>0.9744</v>
      </c>
      <c r="K7" s="8" t="n">
        <f aca="false">J7&gt;0.95</f>
        <v>1</v>
      </c>
      <c r="L7" s="8" t="n">
        <f aca="false">J7&gt;0.9</f>
        <v>1</v>
      </c>
      <c r="M7" s="6" t="s">
        <v>59</v>
      </c>
      <c r="N7" s="6" t="s">
        <v>59</v>
      </c>
      <c r="O7" s="6" t="n">
        <v>0.9855</v>
      </c>
      <c r="P7" s="6" t="n">
        <v>0.9855</v>
      </c>
      <c r="Q7" s="6" t="s">
        <v>52</v>
      </c>
      <c r="R7" s="6" t="n">
        <v>0.9996</v>
      </c>
      <c r="S7" s="6" t="n">
        <v>0.9903</v>
      </c>
      <c r="T7" s="6" t="s">
        <v>53</v>
      </c>
      <c r="U7" s="6" t="n">
        <v>0.9799</v>
      </c>
      <c r="V7" s="9" t="s">
        <v>53</v>
      </c>
      <c r="W7" s="9" t="n">
        <v>0.9932</v>
      </c>
    </row>
    <row r="8" customFormat="false" ht="26.25" hidden="false" customHeight="true" outlineLevel="0" collapsed="false">
      <c r="A8" s="1" t="s">
        <v>23</v>
      </c>
      <c r="B8" s="4" t="s">
        <v>24</v>
      </c>
      <c r="C8" s="2" t="s">
        <v>62</v>
      </c>
      <c r="D8" s="2" t="s">
        <v>63</v>
      </c>
      <c r="E8" s="5" t="s">
        <v>64</v>
      </c>
      <c r="F8" s="6" t="n">
        <v>0.9515</v>
      </c>
      <c r="G8" s="6" t="s">
        <v>65</v>
      </c>
      <c r="H8" s="6" t="s">
        <v>66</v>
      </c>
      <c r="I8" s="6" t="s">
        <v>67</v>
      </c>
      <c r="J8" s="6" t="n">
        <v>0.9738</v>
      </c>
      <c r="K8" s="8" t="n">
        <f aca="false">J8&gt;0.95</f>
        <v>1</v>
      </c>
      <c r="L8" s="8" t="n">
        <f aca="false">J8&gt;0.9</f>
        <v>1</v>
      </c>
      <c r="M8" s="6" t="s">
        <v>59</v>
      </c>
      <c r="N8" s="6" t="s">
        <v>59</v>
      </c>
      <c r="O8" s="6" t="n">
        <v>0.9396</v>
      </c>
      <c r="P8" s="6" t="n">
        <v>0.8045</v>
      </c>
      <c r="Q8" s="6" t="s">
        <v>68</v>
      </c>
      <c r="R8" s="6" t="n">
        <v>0.9973</v>
      </c>
      <c r="S8" s="6" t="n">
        <v>0.8478</v>
      </c>
      <c r="T8" s="6" t="s">
        <v>69</v>
      </c>
      <c r="U8" s="6" t="n">
        <v>0.9857</v>
      </c>
      <c r="V8" s="6" t="s">
        <v>70</v>
      </c>
      <c r="W8" s="6" t="n">
        <v>0.9403</v>
      </c>
    </row>
    <row r="9" customFormat="false" ht="26.25" hidden="false" customHeight="true" outlineLevel="0" collapsed="false">
      <c r="A9" s="1" t="s">
        <v>23</v>
      </c>
      <c r="B9" s="1" t="s">
        <v>34</v>
      </c>
      <c r="C9" s="2" t="s">
        <v>71</v>
      </c>
      <c r="D9" s="2" t="s">
        <v>72</v>
      </c>
      <c r="E9" s="5" t="s">
        <v>73</v>
      </c>
      <c r="F9" s="6" t="n">
        <v>0.997</v>
      </c>
      <c r="G9" s="6" t="s">
        <v>74</v>
      </c>
      <c r="H9" s="6" t="s">
        <v>66</v>
      </c>
      <c r="I9" s="6" t="s">
        <v>66</v>
      </c>
      <c r="J9" s="6" t="n">
        <v>0.9952</v>
      </c>
      <c r="K9" s="8" t="n">
        <f aca="false">J9&gt;0.95</f>
        <v>1</v>
      </c>
      <c r="L9" s="8" t="n">
        <f aca="false">J9&gt;0.9</f>
        <v>1</v>
      </c>
      <c r="M9" s="6" t="s">
        <v>75</v>
      </c>
      <c r="N9" s="6" t="n">
        <v>0.9527</v>
      </c>
      <c r="O9" s="6" t="n">
        <v>0.9925</v>
      </c>
      <c r="P9" s="6" t="n">
        <v>0.9837</v>
      </c>
      <c r="Q9" s="6" t="s">
        <v>68</v>
      </c>
      <c r="R9" s="6" t="n">
        <v>0.9973</v>
      </c>
      <c r="S9" s="6" t="n">
        <v>0.9971</v>
      </c>
      <c r="T9" s="6" t="s">
        <v>69</v>
      </c>
      <c r="U9" s="6" t="n">
        <v>0.9857</v>
      </c>
      <c r="V9" s="9" t="s">
        <v>69</v>
      </c>
      <c r="W9" s="9" t="n">
        <v>0.9403</v>
      </c>
    </row>
    <row r="10" customFormat="false" ht="26.25" hidden="false" customHeight="true" outlineLevel="0" collapsed="false">
      <c r="A10" s="1" t="s">
        <v>76</v>
      </c>
      <c r="B10" s="1" t="s">
        <v>34</v>
      </c>
      <c r="E10" s="5" t="s">
        <v>77</v>
      </c>
      <c r="F10" s="6" t="n">
        <v>0.9955</v>
      </c>
      <c r="G10" s="6" t="s">
        <v>78</v>
      </c>
      <c r="H10" s="6" t="s">
        <v>79</v>
      </c>
      <c r="I10" s="6" t="s">
        <v>79</v>
      </c>
      <c r="J10" s="6" t="n">
        <v>0.9845</v>
      </c>
      <c r="K10" s="8" t="n">
        <f aca="false">J10&gt;0.95</f>
        <v>1</v>
      </c>
      <c r="L10" s="8" t="n">
        <f aca="false">J10&gt;0.9</f>
        <v>1</v>
      </c>
      <c r="M10" s="6" t="s">
        <v>80</v>
      </c>
      <c r="N10" s="6" t="n">
        <v>0.982</v>
      </c>
      <c r="O10" s="6" t="n">
        <v>0.9514</v>
      </c>
      <c r="P10" s="6" t="n">
        <v>0.9442</v>
      </c>
      <c r="Q10" s="6" t="s">
        <v>81</v>
      </c>
      <c r="R10" s="6" t="n">
        <v>0.9856</v>
      </c>
      <c r="S10" s="6" t="n">
        <v>0.9762</v>
      </c>
      <c r="T10" s="6" t="s">
        <v>59</v>
      </c>
      <c r="U10" s="6" t="s">
        <v>59</v>
      </c>
      <c r="V10" s="6" t="s">
        <v>59</v>
      </c>
      <c r="W10" s="6" t="s">
        <v>59</v>
      </c>
    </row>
    <row r="11" customFormat="false" ht="26.25" hidden="false" customHeight="true" outlineLevel="0" collapsed="false">
      <c r="A11" s="1" t="s">
        <v>82</v>
      </c>
      <c r="B11" s="1" t="s">
        <v>34</v>
      </c>
      <c r="C11" s="2" t="s">
        <v>83</v>
      </c>
      <c r="D11" s="2" t="s">
        <v>84</v>
      </c>
      <c r="E11" s="5" t="s">
        <v>85</v>
      </c>
      <c r="F11" s="6" t="n">
        <v>0.9983</v>
      </c>
      <c r="G11" s="6" t="s">
        <v>86</v>
      </c>
      <c r="H11" s="6" t="s">
        <v>87</v>
      </c>
      <c r="I11" s="6" t="s">
        <v>86</v>
      </c>
      <c r="J11" s="6" t="n">
        <v>0.9908</v>
      </c>
      <c r="K11" s="8" t="n">
        <f aca="false">J11&gt;0.95</f>
        <v>1</v>
      </c>
      <c r="L11" s="8" t="n">
        <f aca="false">J11&gt;0.9</f>
        <v>1</v>
      </c>
      <c r="M11" s="6" t="s">
        <v>88</v>
      </c>
      <c r="N11" s="6" t="n">
        <v>0.9488</v>
      </c>
      <c r="O11" s="6" t="n">
        <v>0.9718</v>
      </c>
      <c r="P11" s="6" t="n">
        <v>0.9718</v>
      </c>
      <c r="Q11" s="6" t="s">
        <v>89</v>
      </c>
      <c r="R11" s="6" t="n">
        <v>0.9948</v>
      </c>
      <c r="S11" s="6" t="n">
        <v>0.991</v>
      </c>
      <c r="T11" s="6" t="s">
        <v>90</v>
      </c>
      <c r="U11" s="6" t="n">
        <v>0.9087</v>
      </c>
      <c r="V11" s="6" t="s">
        <v>59</v>
      </c>
      <c r="W11" s="6" t="s">
        <v>59</v>
      </c>
    </row>
    <row r="12" customFormat="false" ht="26.25" hidden="false" customHeight="true" outlineLevel="0" collapsed="false">
      <c r="A12" s="1" t="s">
        <v>82</v>
      </c>
      <c r="B12" s="4" t="s">
        <v>24</v>
      </c>
      <c r="C12" s="2" t="s">
        <v>91</v>
      </c>
      <c r="D12" s="2" t="s">
        <v>84</v>
      </c>
      <c r="E12" s="5" t="s">
        <v>92</v>
      </c>
      <c r="F12" s="6" t="n">
        <v>0.9953</v>
      </c>
      <c r="G12" s="6" t="s">
        <v>93</v>
      </c>
      <c r="H12" s="6" t="s">
        <v>87</v>
      </c>
      <c r="I12" s="6" t="s">
        <v>93</v>
      </c>
      <c r="J12" s="6" t="n">
        <v>0.9826</v>
      </c>
      <c r="K12" s="8" t="n">
        <f aca="false">J12&gt;0.95</f>
        <v>1</v>
      </c>
      <c r="L12" s="8" t="n">
        <f aca="false">J12&gt;0.9</f>
        <v>1</v>
      </c>
      <c r="M12" s="6" t="s">
        <v>59</v>
      </c>
      <c r="N12" s="6" t="s">
        <v>59</v>
      </c>
      <c r="O12" s="6" t="n">
        <v>0.9445</v>
      </c>
      <c r="P12" s="6" t="n">
        <v>0.9445</v>
      </c>
      <c r="Q12" s="6" t="s">
        <v>89</v>
      </c>
      <c r="R12" s="6" t="n">
        <v>0.9948</v>
      </c>
      <c r="S12" s="6" t="n">
        <v>0.711</v>
      </c>
      <c r="T12" s="6" t="s">
        <v>90</v>
      </c>
      <c r="U12" s="6" t="n">
        <v>0.9087</v>
      </c>
      <c r="V12" s="6" t="s">
        <v>59</v>
      </c>
      <c r="W12" s="6" t="s">
        <v>59</v>
      </c>
    </row>
    <row r="13" customFormat="false" ht="26.25" hidden="false" customHeight="true" outlineLevel="0" collapsed="false">
      <c r="A13" s="1" t="s">
        <v>82</v>
      </c>
      <c r="B13" s="4" t="s">
        <v>24</v>
      </c>
      <c r="E13" s="5" t="s">
        <v>94</v>
      </c>
      <c r="F13" s="6" t="n">
        <v>0.9575</v>
      </c>
      <c r="G13" s="6" t="s">
        <v>95</v>
      </c>
      <c r="H13" s="6" t="s">
        <v>87</v>
      </c>
      <c r="I13" s="6" t="s">
        <v>96</v>
      </c>
      <c r="J13" s="6" t="n">
        <v>0.9344</v>
      </c>
      <c r="K13" s="8" t="n">
        <f aca="false">J13&gt;0.95</f>
        <v>0</v>
      </c>
      <c r="L13" s="8" t="n">
        <f aca="false">J13&gt;0.9</f>
        <v>1</v>
      </c>
      <c r="M13" s="6" t="s">
        <v>59</v>
      </c>
      <c r="N13" s="6" t="s">
        <v>59</v>
      </c>
      <c r="O13" s="6" t="n">
        <v>0.9078</v>
      </c>
      <c r="P13" s="6" t="n">
        <v>0.8473</v>
      </c>
      <c r="Q13" s="6" t="s">
        <v>89</v>
      </c>
      <c r="R13" s="6" t="n">
        <v>0.9948</v>
      </c>
      <c r="S13" s="6" t="n">
        <v>0.5425</v>
      </c>
      <c r="T13" s="6" t="s">
        <v>90</v>
      </c>
      <c r="U13" s="6" t="n">
        <v>0.9087</v>
      </c>
      <c r="V13" s="6" t="s">
        <v>59</v>
      </c>
      <c r="W13" s="6" t="s">
        <v>59</v>
      </c>
    </row>
    <row r="14" customFormat="false" ht="26.25" hidden="false" customHeight="true" outlineLevel="0" collapsed="false">
      <c r="A14" s="1" t="s">
        <v>23</v>
      </c>
      <c r="B14" s="1" t="s">
        <v>34</v>
      </c>
      <c r="C14" s="2" t="s">
        <v>97</v>
      </c>
      <c r="D14" s="2" t="s">
        <v>72</v>
      </c>
      <c r="E14" s="5" t="s">
        <v>98</v>
      </c>
      <c r="F14" s="6" t="n">
        <v>0.9981</v>
      </c>
      <c r="G14" s="6" t="s">
        <v>99</v>
      </c>
      <c r="H14" s="6" t="s">
        <v>100</v>
      </c>
      <c r="I14" s="6" t="s">
        <v>100</v>
      </c>
      <c r="J14" s="6" t="n">
        <v>0.9949</v>
      </c>
      <c r="K14" s="8" t="n">
        <f aca="false">J14&gt;0.95</f>
        <v>1</v>
      </c>
      <c r="L14" s="8" t="n">
        <f aca="false">J14&gt;0.9</f>
        <v>1</v>
      </c>
      <c r="M14" s="6" t="s">
        <v>101</v>
      </c>
      <c r="N14" s="6" t="n">
        <v>0.9745</v>
      </c>
      <c r="O14" s="6" t="n">
        <v>0.9939</v>
      </c>
      <c r="P14" s="6" t="n">
        <v>0.9915</v>
      </c>
      <c r="Q14" s="6" t="s">
        <v>102</v>
      </c>
      <c r="R14" s="6" t="n">
        <v>0.9953</v>
      </c>
      <c r="S14" s="6" t="n">
        <v>0.9925</v>
      </c>
      <c r="T14" s="6" t="s">
        <v>103</v>
      </c>
      <c r="U14" s="6" t="n">
        <v>0.9574</v>
      </c>
      <c r="V14" s="6" t="s">
        <v>103</v>
      </c>
      <c r="W14" s="6" t="n">
        <v>0.9156</v>
      </c>
    </row>
    <row r="15" customFormat="false" ht="26.25" hidden="false" customHeight="true" outlineLevel="0" collapsed="false">
      <c r="A15" s="1" t="s">
        <v>82</v>
      </c>
      <c r="B15" s="1" t="s">
        <v>34</v>
      </c>
      <c r="C15" s="2" t="s">
        <v>55</v>
      </c>
      <c r="D15" s="10" t="s">
        <v>104</v>
      </c>
      <c r="E15" s="5" t="s">
        <v>105</v>
      </c>
      <c r="F15" s="6" t="n">
        <v>0.9977</v>
      </c>
      <c r="G15" s="6" t="s">
        <v>106</v>
      </c>
      <c r="H15" s="6" t="s">
        <v>107</v>
      </c>
      <c r="I15" s="6" t="s">
        <v>106</v>
      </c>
      <c r="J15" s="6" t="n">
        <v>0.9967</v>
      </c>
      <c r="K15" s="8" t="n">
        <f aca="false">J15&gt;0.95</f>
        <v>1</v>
      </c>
      <c r="L15" s="8" t="n">
        <f aca="false">J15&gt;0.9</f>
        <v>1</v>
      </c>
      <c r="M15" s="6" t="s">
        <v>108</v>
      </c>
      <c r="N15" s="6" t="n">
        <v>0.9797</v>
      </c>
      <c r="O15" s="6" t="n">
        <v>0.9952</v>
      </c>
      <c r="P15" s="6" t="n">
        <v>0.9952</v>
      </c>
      <c r="Q15" s="6" t="s">
        <v>109</v>
      </c>
      <c r="R15" s="6" t="n">
        <v>0.4808</v>
      </c>
      <c r="S15" s="6" t="n">
        <v>0.8306</v>
      </c>
      <c r="T15" s="6" t="s">
        <v>110</v>
      </c>
      <c r="U15" s="6" t="n">
        <v>0.9547</v>
      </c>
      <c r="V15" s="6" t="s">
        <v>59</v>
      </c>
      <c r="W15" s="6" t="s">
        <v>59</v>
      </c>
    </row>
    <row r="16" customFormat="false" ht="26.25" hidden="false" customHeight="true" outlineLevel="0" collapsed="false">
      <c r="A16" s="1" t="s">
        <v>23</v>
      </c>
      <c r="B16" s="1" t="s">
        <v>34</v>
      </c>
      <c r="C16" s="2" t="s">
        <v>111</v>
      </c>
      <c r="D16" s="2" t="s">
        <v>72</v>
      </c>
      <c r="E16" s="5" t="s">
        <v>112</v>
      </c>
      <c r="F16" s="6" t="n">
        <v>0.9942</v>
      </c>
      <c r="G16" s="6" t="s">
        <v>113</v>
      </c>
      <c r="H16" s="6" t="s">
        <v>113</v>
      </c>
      <c r="I16" s="6" t="s">
        <v>113</v>
      </c>
      <c r="J16" s="6" t="n">
        <v>0.9914</v>
      </c>
      <c r="K16" s="8" t="n">
        <f aca="false">J16&gt;0.95</f>
        <v>1</v>
      </c>
      <c r="L16" s="8" t="n">
        <f aca="false">J16&gt;0.9</f>
        <v>1</v>
      </c>
      <c r="M16" s="6" t="s">
        <v>114</v>
      </c>
      <c r="N16" s="6" t="n">
        <v>0.9812</v>
      </c>
      <c r="O16" s="6" t="n">
        <v>0.9979</v>
      </c>
      <c r="P16" s="6" t="n">
        <v>0.9979</v>
      </c>
      <c r="Q16" s="6" t="s">
        <v>115</v>
      </c>
      <c r="R16" s="6" t="n">
        <v>0.9702</v>
      </c>
      <c r="S16" s="6" t="n">
        <v>0.9702</v>
      </c>
      <c r="T16" s="6" t="s">
        <v>116</v>
      </c>
      <c r="U16" s="6" t="n">
        <v>0.9884</v>
      </c>
      <c r="V16" s="6" t="s">
        <v>116</v>
      </c>
      <c r="W16" s="6" t="n">
        <v>0.9683</v>
      </c>
    </row>
    <row r="17" customFormat="false" ht="26.25" hidden="false" customHeight="true" outlineLevel="0" collapsed="false">
      <c r="A17" s="1" t="s">
        <v>82</v>
      </c>
      <c r="B17" s="1" t="s">
        <v>34</v>
      </c>
      <c r="E17" s="5" t="s">
        <v>117</v>
      </c>
      <c r="F17" s="6" t="n">
        <v>0.9992</v>
      </c>
      <c r="G17" s="6" t="s">
        <v>118</v>
      </c>
      <c r="H17" s="6" t="s">
        <v>118</v>
      </c>
      <c r="I17" s="6" t="s">
        <v>119</v>
      </c>
      <c r="J17" s="6" t="n">
        <v>0.9259</v>
      </c>
      <c r="K17" s="8" t="n">
        <f aca="false">J17&gt;0.95</f>
        <v>0</v>
      </c>
      <c r="L17" s="8" t="n">
        <f aca="false">J17&gt;0.9</f>
        <v>1</v>
      </c>
      <c r="M17" s="6" t="s">
        <v>120</v>
      </c>
      <c r="N17" s="6" t="n">
        <v>0.917</v>
      </c>
      <c r="O17" s="6" t="n">
        <v>0.8445</v>
      </c>
      <c r="P17" s="6" t="n">
        <v>0.7921</v>
      </c>
      <c r="Q17" s="6" t="s">
        <v>121</v>
      </c>
      <c r="R17" s="6" t="n">
        <v>0.9487</v>
      </c>
      <c r="S17" s="6" t="n">
        <v>0.9487</v>
      </c>
      <c r="T17" s="6" t="s">
        <v>59</v>
      </c>
      <c r="U17" s="6" t="s">
        <v>59</v>
      </c>
      <c r="V17" s="6" t="s">
        <v>59</v>
      </c>
      <c r="W17" s="6" t="s">
        <v>59</v>
      </c>
    </row>
    <row r="18" customFormat="false" ht="26.25" hidden="false" customHeight="true" outlineLevel="0" collapsed="false">
      <c r="A18" s="1" t="s">
        <v>23</v>
      </c>
      <c r="B18" s="4" t="s">
        <v>24</v>
      </c>
      <c r="E18" s="5" t="s">
        <v>122</v>
      </c>
      <c r="F18" s="6" t="n">
        <v>0.9569</v>
      </c>
      <c r="G18" s="6" t="s">
        <v>123</v>
      </c>
      <c r="H18" s="6" t="s">
        <v>123</v>
      </c>
      <c r="I18" s="6" t="s">
        <v>123</v>
      </c>
      <c r="J18" s="6" t="n">
        <v>0.8457</v>
      </c>
      <c r="K18" s="8" t="n">
        <f aca="false">J18&gt;0.95</f>
        <v>0</v>
      </c>
      <c r="L18" s="8" t="n">
        <f aca="false">J18&gt;0.9</f>
        <v>0</v>
      </c>
      <c r="M18" s="6" t="s">
        <v>59</v>
      </c>
      <c r="N18" s="6" t="s">
        <v>59</v>
      </c>
      <c r="O18" s="6" t="n">
        <v>0.7964</v>
      </c>
      <c r="P18" s="6" t="n">
        <v>0.7964</v>
      </c>
      <c r="Q18" s="6" t="s">
        <v>124</v>
      </c>
      <c r="R18" s="6" t="n">
        <v>0.7523</v>
      </c>
      <c r="S18" s="6" t="n">
        <v>0.7523</v>
      </c>
      <c r="T18" s="6" t="s">
        <v>59</v>
      </c>
      <c r="U18" s="6" t="s">
        <v>59</v>
      </c>
      <c r="V18" s="6" t="s">
        <v>125</v>
      </c>
      <c r="W18" s="6" t="n">
        <v>0.9016</v>
      </c>
    </row>
    <row r="19" customFormat="false" ht="26.25" hidden="false" customHeight="true" outlineLevel="0" collapsed="false">
      <c r="A19" s="1" t="s">
        <v>23</v>
      </c>
      <c r="B19" s="4" t="s">
        <v>24</v>
      </c>
      <c r="E19" s="5" t="s">
        <v>126</v>
      </c>
      <c r="F19" s="6" t="n">
        <v>1</v>
      </c>
      <c r="G19" s="6" t="s">
        <v>127</v>
      </c>
      <c r="H19" s="6" t="s">
        <v>127</v>
      </c>
      <c r="I19" s="6" t="s">
        <v>127</v>
      </c>
      <c r="J19" s="6" t="n">
        <v>1</v>
      </c>
      <c r="K19" s="8" t="n">
        <f aca="false">J19&gt;0.95</f>
        <v>1</v>
      </c>
      <c r="L19" s="8" t="n">
        <f aca="false">J19&gt;0.9</f>
        <v>1</v>
      </c>
      <c r="M19" s="6" t="s">
        <v>59</v>
      </c>
      <c r="N19" s="6" t="s">
        <v>59</v>
      </c>
      <c r="O19" s="6" t="n">
        <v>0.9999</v>
      </c>
      <c r="P19" s="6" t="n">
        <v>0.9999</v>
      </c>
      <c r="Q19" s="6" t="s">
        <v>128</v>
      </c>
      <c r="R19" s="6" t="n">
        <v>0.999</v>
      </c>
      <c r="S19" s="6" t="n">
        <v>0.999</v>
      </c>
      <c r="T19" s="6" t="s">
        <v>129</v>
      </c>
      <c r="U19" s="6" t="n">
        <v>0.9674</v>
      </c>
      <c r="V19" s="6" t="s">
        <v>130</v>
      </c>
      <c r="W19" s="6" t="n">
        <v>0.9975</v>
      </c>
    </row>
    <row r="20" customFormat="false" ht="26.25" hidden="false" customHeight="true" outlineLevel="0" collapsed="false">
      <c r="A20" s="1" t="s">
        <v>23</v>
      </c>
      <c r="B20" s="4" t="s">
        <v>24</v>
      </c>
      <c r="E20" s="5" t="s">
        <v>131</v>
      </c>
      <c r="F20" s="6" t="n">
        <v>0.9908</v>
      </c>
      <c r="G20" s="6" t="s">
        <v>132</v>
      </c>
      <c r="H20" s="6" t="s">
        <v>133</v>
      </c>
      <c r="I20" s="6" t="s">
        <v>132</v>
      </c>
      <c r="J20" s="6" t="n">
        <v>0.9701</v>
      </c>
      <c r="K20" s="8" t="n">
        <f aca="false">J20&gt;0.95</f>
        <v>1</v>
      </c>
      <c r="L20" s="8" t="n">
        <f aca="false">J20&gt;0.9</f>
        <v>1</v>
      </c>
      <c r="M20" s="6" t="s">
        <v>59</v>
      </c>
      <c r="N20" s="6" t="s">
        <v>59</v>
      </c>
      <c r="O20" s="6" t="n">
        <v>0.9471</v>
      </c>
      <c r="P20" s="6" t="n">
        <v>0.9471</v>
      </c>
      <c r="Q20" s="6" t="s">
        <v>134</v>
      </c>
      <c r="R20" s="6" t="n">
        <v>0.9577</v>
      </c>
      <c r="S20" s="6" t="n">
        <v>0.7407</v>
      </c>
      <c r="T20" s="6" t="s">
        <v>135</v>
      </c>
      <c r="U20" s="6" t="n">
        <v>0.9283</v>
      </c>
      <c r="V20" s="6" t="s">
        <v>135</v>
      </c>
      <c r="W20" s="6" t="n">
        <v>0.9368</v>
      </c>
    </row>
    <row r="21" customFormat="false" ht="26.25" hidden="false" customHeight="true" outlineLevel="0" collapsed="false">
      <c r="A21" s="1" t="s">
        <v>23</v>
      </c>
      <c r="B21" s="1" t="s">
        <v>34</v>
      </c>
      <c r="C21" s="2" t="s">
        <v>136</v>
      </c>
      <c r="D21" s="2" t="s">
        <v>72</v>
      </c>
      <c r="E21" s="5" t="s">
        <v>137</v>
      </c>
      <c r="F21" s="6" t="n">
        <v>0.9962</v>
      </c>
      <c r="G21" s="6" t="s">
        <v>138</v>
      </c>
      <c r="H21" s="6" t="s">
        <v>139</v>
      </c>
      <c r="I21" s="6" t="s">
        <v>139</v>
      </c>
      <c r="J21" s="6" t="n">
        <v>0.9908</v>
      </c>
      <c r="K21" s="8" t="n">
        <f aca="false">J21&gt;0.95</f>
        <v>1</v>
      </c>
      <c r="L21" s="8" t="n">
        <f aca="false">J21&gt;0.9</f>
        <v>1</v>
      </c>
      <c r="M21" s="6" t="s">
        <v>140</v>
      </c>
      <c r="N21" s="6" t="n">
        <v>0.9886</v>
      </c>
      <c r="O21" s="6" t="n">
        <v>0.9953</v>
      </c>
      <c r="P21" s="6" t="n">
        <v>0.982</v>
      </c>
      <c r="Q21" s="6" t="s">
        <v>141</v>
      </c>
      <c r="R21" s="6" t="n">
        <v>0.9913</v>
      </c>
      <c r="S21" s="6" t="n">
        <v>0.9899</v>
      </c>
      <c r="T21" s="6" t="s">
        <v>142</v>
      </c>
      <c r="U21" s="6" t="n">
        <v>0.958</v>
      </c>
      <c r="V21" s="6" t="s">
        <v>142</v>
      </c>
      <c r="W21" s="6" t="n">
        <v>0.958</v>
      </c>
    </row>
    <row r="22" customFormat="false" ht="26.25" hidden="false" customHeight="true" outlineLevel="0" collapsed="false">
      <c r="A22" s="1" t="s">
        <v>23</v>
      </c>
      <c r="B22" s="1" t="s">
        <v>34</v>
      </c>
      <c r="C22" s="2" t="s">
        <v>143</v>
      </c>
      <c r="D22" s="2" t="s">
        <v>144</v>
      </c>
      <c r="E22" s="5" t="s">
        <v>145</v>
      </c>
      <c r="F22" s="6" t="n">
        <v>0.9881</v>
      </c>
      <c r="G22" s="6" t="s">
        <v>146</v>
      </c>
      <c r="H22" s="6" t="s">
        <v>146</v>
      </c>
      <c r="I22" s="6" t="s">
        <v>147</v>
      </c>
      <c r="J22" s="6" t="n">
        <v>0.9945</v>
      </c>
      <c r="K22" s="8" t="n">
        <f aca="false">J22&gt;0.95</f>
        <v>1</v>
      </c>
      <c r="L22" s="8" t="n">
        <f aca="false">J22&gt;0.9</f>
        <v>1</v>
      </c>
      <c r="M22" s="6" t="s">
        <v>148</v>
      </c>
      <c r="N22" s="6" t="n">
        <v>0.9831</v>
      </c>
      <c r="O22" s="6" t="n">
        <v>0.9839</v>
      </c>
      <c r="P22" s="6" t="n">
        <v>0.9775</v>
      </c>
      <c r="Q22" s="6" t="s">
        <v>149</v>
      </c>
      <c r="R22" s="6" t="n">
        <v>0.9965</v>
      </c>
      <c r="S22" s="6" t="n">
        <v>0.9965</v>
      </c>
      <c r="T22" s="6" t="s">
        <v>150</v>
      </c>
      <c r="U22" s="6" t="n">
        <v>0.9321</v>
      </c>
      <c r="V22" s="6" t="s">
        <v>150</v>
      </c>
      <c r="W22" s="6" t="n">
        <v>0.9584</v>
      </c>
    </row>
    <row r="23" customFormat="false" ht="26.25" hidden="false" customHeight="true" outlineLevel="0" collapsed="false">
      <c r="A23" s="1" t="s">
        <v>82</v>
      </c>
      <c r="B23" s="4" t="s">
        <v>24</v>
      </c>
      <c r="E23" s="5" t="s">
        <v>151</v>
      </c>
      <c r="F23" s="6" t="n">
        <v>1</v>
      </c>
      <c r="G23" s="6" t="s">
        <v>152</v>
      </c>
      <c r="H23" s="6" t="s">
        <v>152</v>
      </c>
      <c r="I23" s="6" t="s">
        <v>152</v>
      </c>
      <c r="J23" s="6" t="n">
        <v>0.9972</v>
      </c>
      <c r="K23" s="8" t="n">
        <f aca="false">J23&gt;0.95</f>
        <v>1</v>
      </c>
      <c r="L23" s="8" t="n">
        <f aca="false">J23&gt;0.9</f>
        <v>1</v>
      </c>
      <c r="M23" s="6" t="s">
        <v>59</v>
      </c>
      <c r="N23" s="6" t="s">
        <v>59</v>
      </c>
      <c r="O23" s="6" t="n">
        <v>0.9947</v>
      </c>
      <c r="P23" s="6" t="n">
        <v>0.9947</v>
      </c>
      <c r="Q23" s="6" t="s">
        <v>153</v>
      </c>
      <c r="R23" s="6" t="n">
        <v>0.9981</v>
      </c>
      <c r="S23" s="6" t="n">
        <v>0.9981</v>
      </c>
      <c r="T23" s="6" t="s">
        <v>154</v>
      </c>
      <c r="U23" s="6" t="n">
        <v>0.9926</v>
      </c>
      <c r="V23" s="6" t="s">
        <v>59</v>
      </c>
      <c r="W23" s="6" t="s">
        <v>59</v>
      </c>
    </row>
    <row r="24" customFormat="false" ht="26.25" hidden="false" customHeight="true" outlineLevel="0" collapsed="false">
      <c r="A24" s="1" t="s">
        <v>82</v>
      </c>
      <c r="B24" s="4" t="s">
        <v>24</v>
      </c>
      <c r="E24" s="5" t="s">
        <v>155</v>
      </c>
      <c r="F24" s="6" t="n">
        <v>1</v>
      </c>
      <c r="G24" s="6" t="s">
        <v>156</v>
      </c>
      <c r="H24" s="6" t="s">
        <v>156</v>
      </c>
      <c r="I24" s="6" t="s">
        <v>156</v>
      </c>
      <c r="J24" s="6" t="n">
        <v>1</v>
      </c>
      <c r="K24" s="8" t="n">
        <f aca="false">J24&gt;0.95</f>
        <v>1</v>
      </c>
      <c r="L24" s="8" t="n">
        <f aca="false">J24&gt;0.9</f>
        <v>1</v>
      </c>
      <c r="M24" s="6" t="s">
        <v>59</v>
      </c>
      <c r="N24" s="6" t="s">
        <v>59</v>
      </c>
      <c r="O24" s="6" t="n">
        <v>1</v>
      </c>
      <c r="P24" s="6" t="n">
        <v>1</v>
      </c>
      <c r="Q24" s="6" t="s">
        <v>157</v>
      </c>
      <c r="R24" s="6" t="n">
        <v>1</v>
      </c>
      <c r="S24" s="6" t="n">
        <v>1</v>
      </c>
      <c r="T24" s="6" t="s">
        <v>158</v>
      </c>
      <c r="U24" s="6" t="n">
        <v>1</v>
      </c>
      <c r="V24" s="6" t="s">
        <v>59</v>
      </c>
      <c r="W24" s="6" t="s">
        <v>59</v>
      </c>
    </row>
    <row r="25" customFormat="false" ht="26.25" hidden="false" customHeight="true" outlineLevel="0" collapsed="false">
      <c r="A25" s="1" t="s">
        <v>82</v>
      </c>
      <c r="B25" s="4" t="s">
        <v>24</v>
      </c>
      <c r="C25" s="2" t="s">
        <v>159</v>
      </c>
      <c r="D25" s="2" t="s">
        <v>72</v>
      </c>
      <c r="E25" s="5" t="s">
        <v>160</v>
      </c>
      <c r="F25" s="6" t="n">
        <v>1</v>
      </c>
      <c r="G25" s="6" t="s">
        <v>161</v>
      </c>
      <c r="H25" s="6" t="s">
        <v>161</v>
      </c>
      <c r="I25" s="6" t="s">
        <v>161</v>
      </c>
      <c r="J25" s="6" t="n">
        <v>0.9999</v>
      </c>
      <c r="K25" s="8" t="n">
        <f aca="false">J25&gt;0.95</f>
        <v>1</v>
      </c>
      <c r="L25" s="8" t="n">
        <f aca="false">J25&gt;0.9</f>
        <v>1</v>
      </c>
      <c r="M25" s="6" t="s">
        <v>59</v>
      </c>
      <c r="N25" s="6" t="s">
        <v>59</v>
      </c>
      <c r="O25" s="6" t="n">
        <v>0.9998</v>
      </c>
      <c r="P25" s="6" t="n">
        <v>0.9998</v>
      </c>
      <c r="Q25" s="6" t="s">
        <v>162</v>
      </c>
      <c r="R25" s="6" t="n">
        <v>0.9969</v>
      </c>
      <c r="S25" s="6" t="n">
        <v>0.9969</v>
      </c>
      <c r="T25" s="6" t="s">
        <v>163</v>
      </c>
      <c r="U25" s="6" t="n">
        <v>0.9141</v>
      </c>
      <c r="V25" s="6" t="s">
        <v>59</v>
      </c>
      <c r="W25" s="6" t="s">
        <v>59</v>
      </c>
    </row>
    <row r="26" customFormat="false" ht="26.25" hidden="false" customHeight="true" outlineLevel="0" collapsed="false">
      <c r="A26" s="1" t="s">
        <v>23</v>
      </c>
      <c r="B26" s="1" t="s">
        <v>34</v>
      </c>
      <c r="C26" s="2" t="s">
        <v>164</v>
      </c>
      <c r="D26" s="2" t="s">
        <v>72</v>
      </c>
      <c r="E26" s="5" t="s">
        <v>165</v>
      </c>
      <c r="F26" s="6" t="n">
        <v>0.9994</v>
      </c>
      <c r="G26" s="6" t="s">
        <v>166</v>
      </c>
      <c r="H26" s="6" t="s">
        <v>166</v>
      </c>
      <c r="I26" s="6" t="s">
        <v>166</v>
      </c>
      <c r="J26" s="6" t="n">
        <v>0.9958</v>
      </c>
      <c r="K26" s="8" t="n">
        <f aca="false">J26&gt;0.95</f>
        <v>1</v>
      </c>
      <c r="L26" s="8" t="n">
        <f aca="false">J26&gt;0.9</f>
        <v>1</v>
      </c>
      <c r="M26" s="6" t="s">
        <v>167</v>
      </c>
      <c r="N26" s="6" t="n">
        <v>0.9959</v>
      </c>
      <c r="O26" s="6" t="n">
        <v>0.9868</v>
      </c>
      <c r="P26" s="6" t="n">
        <v>0.9868</v>
      </c>
      <c r="Q26" s="6" t="s">
        <v>168</v>
      </c>
      <c r="R26" s="6" t="n">
        <v>0.9858</v>
      </c>
      <c r="S26" s="6" t="n">
        <v>0.9858</v>
      </c>
      <c r="T26" s="6" t="s">
        <v>169</v>
      </c>
      <c r="U26" s="6" t="n">
        <v>0.9778</v>
      </c>
      <c r="V26" s="6" t="s">
        <v>169</v>
      </c>
      <c r="W26" s="6" t="n">
        <v>0.9087</v>
      </c>
    </row>
    <row r="27" customFormat="false" ht="26.25" hidden="false" customHeight="true" outlineLevel="0" collapsed="false">
      <c r="A27" s="1" t="s">
        <v>82</v>
      </c>
      <c r="B27" s="4" t="s">
        <v>24</v>
      </c>
      <c r="E27" s="5" t="s">
        <v>170</v>
      </c>
      <c r="F27" s="6" t="n">
        <v>0.9913</v>
      </c>
      <c r="G27" s="6" t="s">
        <v>171</v>
      </c>
      <c r="H27" s="6" t="s">
        <v>172</v>
      </c>
      <c r="I27" s="6" t="s">
        <v>173</v>
      </c>
      <c r="J27" s="6" t="n">
        <v>0.9494</v>
      </c>
      <c r="K27" s="8" t="n">
        <f aca="false">J27&gt;0.95</f>
        <v>0</v>
      </c>
      <c r="L27" s="8" t="n">
        <f aca="false">J27&gt;0.9</f>
        <v>1</v>
      </c>
      <c r="M27" s="6" t="s">
        <v>59</v>
      </c>
      <c r="N27" s="6" t="s">
        <v>59</v>
      </c>
      <c r="O27" s="6" t="n">
        <v>0.8751</v>
      </c>
      <c r="P27" s="6" t="n">
        <v>0.8421</v>
      </c>
      <c r="Q27" s="6" t="s">
        <v>174</v>
      </c>
      <c r="R27" s="6" t="n">
        <v>0.9895</v>
      </c>
      <c r="S27" s="6" t="n">
        <v>0.5483</v>
      </c>
      <c r="T27" s="6" t="s">
        <v>59</v>
      </c>
      <c r="U27" s="6" t="s">
        <v>59</v>
      </c>
      <c r="V27" s="6" t="s">
        <v>59</v>
      </c>
      <c r="W27" s="6" t="s">
        <v>59</v>
      </c>
    </row>
    <row r="28" customFormat="false" ht="26.25" hidden="false" customHeight="true" outlineLevel="0" collapsed="false">
      <c r="A28" s="1" t="s">
        <v>82</v>
      </c>
      <c r="B28" s="4" t="s">
        <v>24</v>
      </c>
      <c r="E28" s="5" t="s">
        <v>175</v>
      </c>
      <c r="F28" s="6" t="n">
        <v>0.9943</v>
      </c>
      <c r="G28" s="6" t="s">
        <v>176</v>
      </c>
      <c r="H28" s="6" t="s">
        <v>172</v>
      </c>
      <c r="I28" s="6" t="s">
        <v>177</v>
      </c>
      <c r="J28" s="6" t="n">
        <v>0.9922</v>
      </c>
      <c r="K28" s="8" t="n">
        <f aca="false">J28&gt;0.95</f>
        <v>1</v>
      </c>
      <c r="L28" s="8" t="n">
        <f aca="false">J28&gt;0.9</f>
        <v>1</v>
      </c>
      <c r="M28" s="6" t="s">
        <v>59</v>
      </c>
      <c r="N28" s="6" t="s">
        <v>59</v>
      </c>
      <c r="O28" s="6" t="n">
        <v>0.9868</v>
      </c>
      <c r="P28" s="6" t="n">
        <v>0.9699</v>
      </c>
      <c r="Q28" s="6" t="s">
        <v>174</v>
      </c>
      <c r="R28" s="6" t="n">
        <v>0.9895</v>
      </c>
      <c r="S28" s="6" t="n">
        <v>0.9856</v>
      </c>
      <c r="T28" s="6" t="s">
        <v>59</v>
      </c>
      <c r="U28" s="6" t="s">
        <v>59</v>
      </c>
      <c r="V28" s="6" t="s">
        <v>59</v>
      </c>
      <c r="W28" s="6" t="s">
        <v>59</v>
      </c>
    </row>
    <row r="29" customFormat="false" ht="26.25" hidden="false" customHeight="true" outlineLevel="0" collapsed="false">
      <c r="A29" s="1" t="s">
        <v>82</v>
      </c>
      <c r="B29" s="4" t="s">
        <v>24</v>
      </c>
      <c r="C29" s="2" t="s">
        <v>178</v>
      </c>
      <c r="D29" s="2" t="s">
        <v>72</v>
      </c>
      <c r="E29" s="5" t="s">
        <v>179</v>
      </c>
      <c r="F29" s="6" t="n">
        <v>0.9945</v>
      </c>
      <c r="G29" s="6" t="s">
        <v>180</v>
      </c>
      <c r="H29" s="6" t="s">
        <v>180</v>
      </c>
      <c r="I29" s="6" t="s">
        <v>180</v>
      </c>
      <c r="J29" s="6" t="n">
        <v>0.9606</v>
      </c>
      <c r="K29" s="8" t="n">
        <f aca="false">J29&gt;0.95</f>
        <v>1</v>
      </c>
      <c r="L29" s="8" t="n">
        <f aca="false">J29&gt;0.9</f>
        <v>1</v>
      </c>
      <c r="M29" s="6" t="s">
        <v>59</v>
      </c>
      <c r="N29" s="6" t="s">
        <v>59</v>
      </c>
      <c r="O29" s="6" t="n">
        <v>0.926</v>
      </c>
      <c r="P29" s="6" t="n">
        <v>0.926</v>
      </c>
      <c r="Q29" s="6" t="s">
        <v>181</v>
      </c>
      <c r="R29" s="6" t="n">
        <v>0.9664</v>
      </c>
      <c r="S29" s="6" t="n">
        <v>0.9664</v>
      </c>
      <c r="T29" s="6" t="s">
        <v>182</v>
      </c>
      <c r="U29" s="6" t="n">
        <v>0.9886</v>
      </c>
      <c r="V29" s="6" t="s">
        <v>59</v>
      </c>
      <c r="W29" s="6" t="s">
        <v>59</v>
      </c>
    </row>
    <row r="30" customFormat="false" ht="26.25" hidden="false" customHeight="true" outlineLevel="0" collapsed="false">
      <c r="A30" s="4" t="s">
        <v>24</v>
      </c>
      <c r="B30" s="4" t="s">
        <v>24</v>
      </c>
      <c r="E30" s="5" t="s">
        <v>183</v>
      </c>
      <c r="F30" s="6" t="n">
        <v>0.9972</v>
      </c>
      <c r="G30" s="6" t="s">
        <v>184</v>
      </c>
      <c r="H30" s="6" t="s">
        <v>185</v>
      </c>
      <c r="I30" s="6" t="s">
        <v>184</v>
      </c>
      <c r="J30" s="6" t="n">
        <v>0.8097</v>
      </c>
      <c r="K30" s="8" t="n">
        <f aca="false">J30&gt;0.95</f>
        <v>0</v>
      </c>
      <c r="L30" s="8" t="n">
        <f aca="false">J30&gt;0.9</f>
        <v>0</v>
      </c>
      <c r="M30" s="6" t="s">
        <v>59</v>
      </c>
      <c r="N30" s="6" t="s">
        <v>59</v>
      </c>
      <c r="O30" s="6" t="n">
        <v>0.7636</v>
      </c>
      <c r="P30" s="6" t="n">
        <v>0.7636</v>
      </c>
      <c r="Q30" s="6" t="s">
        <v>186</v>
      </c>
      <c r="R30" s="6" t="n">
        <v>0.8227</v>
      </c>
      <c r="S30" s="6" t="n">
        <v>0.4338</v>
      </c>
      <c r="T30" s="6" t="s">
        <v>59</v>
      </c>
      <c r="U30" s="6" t="s">
        <v>59</v>
      </c>
      <c r="V30" s="6" t="s">
        <v>59</v>
      </c>
      <c r="W30" s="6" t="s">
        <v>59</v>
      </c>
    </row>
    <row r="31" customFormat="false" ht="26.25" hidden="false" customHeight="true" outlineLevel="0" collapsed="false">
      <c r="A31" s="4" t="s">
        <v>24</v>
      </c>
      <c r="B31" s="1" t="s">
        <v>34</v>
      </c>
      <c r="C31" s="2" t="s">
        <v>187</v>
      </c>
      <c r="D31" s="2" t="s">
        <v>36</v>
      </c>
      <c r="E31" s="5" t="s">
        <v>188</v>
      </c>
      <c r="F31" s="6" t="n">
        <v>0.9792</v>
      </c>
      <c r="G31" s="6" t="s">
        <v>185</v>
      </c>
      <c r="H31" s="6" t="s">
        <v>185</v>
      </c>
      <c r="I31" s="6" t="s">
        <v>185</v>
      </c>
      <c r="J31" s="6" t="n">
        <v>0.9361</v>
      </c>
      <c r="K31" s="8" t="n">
        <f aca="false">J31&gt;0.95</f>
        <v>0</v>
      </c>
      <c r="L31" s="8" t="n">
        <f aca="false">J31&gt;0.9</f>
        <v>1</v>
      </c>
      <c r="M31" s="6" t="s">
        <v>189</v>
      </c>
      <c r="N31" s="6" t="n">
        <v>0.965</v>
      </c>
      <c r="O31" s="6" t="n">
        <v>0.942</v>
      </c>
      <c r="P31" s="6" t="n">
        <v>0.942</v>
      </c>
      <c r="Q31" s="6" t="s">
        <v>186</v>
      </c>
      <c r="R31" s="6" t="n">
        <v>0.8227</v>
      </c>
      <c r="S31" s="6" t="n">
        <v>0.8227</v>
      </c>
      <c r="T31" s="6" t="s">
        <v>59</v>
      </c>
      <c r="U31" s="6" t="s">
        <v>59</v>
      </c>
      <c r="V31" s="6" t="s">
        <v>59</v>
      </c>
      <c r="W31" s="6" t="s">
        <v>59</v>
      </c>
    </row>
    <row r="32" customFormat="false" ht="26.25" hidden="false" customHeight="true" outlineLevel="0" collapsed="false">
      <c r="A32" s="4" t="s">
        <v>24</v>
      </c>
      <c r="B32" s="4" t="s">
        <v>24</v>
      </c>
      <c r="E32" s="5" t="s">
        <v>190</v>
      </c>
      <c r="F32" s="6" t="n">
        <v>0.9919</v>
      </c>
      <c r="G32" s="6" t="s">
        <v>191</v>
      </c>
      <c r="H32" s="6" t="s">
        <v>192</v>
      </c>
      <c r="I32" s="6" t="s">
        <v>191</v>
      </c>
      <c r="J32" s="6" t="n">
        <v>0.9872</v>
      </c>
      <c r="K32" s="8" t="n">
        <f aca="false">J32&gt;0.95</f>
        <v>1</v>
      </c>
      <c r="L32" s="8" t="n">
        <f aca="false">J32&gt;0.9</f>
        <v>1</v>
      </c>
      <c r="M32" s="6" t="s">
        <v>59</v>
      </c>
      <c r="N32" s="6" t="s">
        <v>59</v>
      </c>
      <c r="O32" s="6" t="n">
        <v>0.9719</v>
      </c>
      <c r="P32" s="6" t="n">
        <v>0.9719</v>
      </c>
      <c r="Q32" s="6" t="s">
        <v>193</v>
      </c>
      <c r="R32" s="6" t="n">
        <v>0.983</v>
      </c>
      <c r="S32" s="6" t="n">
        <v>0.9659</v>
      </c>
      <c r="T32" s="6" t="s">
        <v>59</v>
      </c>
      <c r="U32" s="6" t="s">
        <v>59</v>
      </c>
      <c r="V32" s="6" t="s">
        <v>59</v>
      </c>
      <c r="W32" s="6" t="s">
        <v>59</v>
      </c>
    </row>
    <row r="33" customFormat="false" ht="26.25" hidden="false" customHeight="true" outlineLevel="0" collapsed="false">
      <c r="A33" s="4" t="s">
        <v>24</v>
      </c>
      <c r="B33" s="4" t="s">
        <v>24</v>
      </c>
      <c r="E33" s="5" t="s">
        <v>194</v>
      </c>
      <c r="F33" s="6" t="n">
        <v>0.9968</v>
      </c>
      <c r="G33" s="6" t="s">
        <v>195</v>
      </c>
      <c r="H33" s="6" t="s">
        <v>195</v>
      </c>
      <c r="I33" s="6" t="s">
        <v>195</v>
      </c>
      <c r="J33" s="6" t="n">
        <v>0.9713</v>
      </c>
      <c r="K33" s="8" t="n">
        <f aca="false">J33&gt;0.95</f>
        <v>1</v>
      </c>
      <c r="L33" s="8" t="n">
        <f aca="false">J33&gt;0.9</f>
        <v>1</v>
      </c>
      <c r="M33" s="9" t="s">
        <v>196</v>
      </c>
      <c r="N33" s="9" t="n">
        <v>0.9268</v>
      </c>
      <c r="O33" s="6" t="n">
        <v>0.9583</v>
      </c>
      <c r="P33" s="6" t="n">
        <v>0.9583</v>
      </c>
      <c r="Q33" s="6" t="s">
        <v>197</v>
      </c>
      <c r="R33" s="6" t="n">
        <v>0.8267</v>
      </c>
      <c r="S33" s="6" t="n">
        <v>0.8267</v>
      </c>
      <c r="T33" s="6" t="s">
        <v>59</v>
      </c>
      <c r="U33" s="6" t="s">
        <v>59</v>
      </c>
      <c r="V33" s="6" t="s">
        <v>59</v>
      </c>
      <c r="W33" s="6" t="s">
        <v>59</v>
      </c>
    </row>
    <row r="34" customFormat="false" ht="26.25" hidden="false" customHeight="true" outlineLevel="0" collapsed="false">
      <c r="A34" s="4" t="s">
        <v>24</v>
      </c>
      <c r="B34" s="1" t="s">
        <v>34</v>
      </c>
      <c r="C34" s="2" t="s">
        <v>198</v>
      </c>
      <c r="D34" s="10" t="s">
        <v>56</v>
      </c>
      <c r="E34" s="5" t="s">
        <v>199</v>
      </c>
      <c r="F34" s="6" t="n">
        <v>0.9746</v>
      </c>
      <c r="G34" s="6" t="s">
        <v>200</v>
      </c>
      <c r="H34" s="6" t="s">
        <v>201</v>
      </c>
      <c r="I34" s="6" t="s">
        <v>202</v>
      </c>
      <c r="J34" s="6" t="n">
        <v>0.9879</v>
      </c>
      <c r="K34" s="8" t="n">
        <f aca="false">J34&gt;0.95</f>
        <v>1</v>
      </c>
      <c r="L34" s="8" t="n">
        <f aca="false">J34&gt;0.9</f>
        <v>1</v>
      </c>
      <c r="M34" s="6" t="s">
        <v>203</v>
      </c>
      <c r="N34" s="6" t="n">
        <v>0.9256</v>
      </c>
      <c r="O34" s="6" t="n">
        <v>0.9997</v>
      </c>
      <c r="P34" s="6" t="n">
        <v>0.9587</v>
      </c>
      <c r="Q34" s="6" t="s">
        <v>204</v>
      </c>
      <c r="R34" s="6" t="n">
        <v>0.4313</v>
      </c>
      <c r="S34" s="6" t="n">
        <v>0.1608</v>
      </c>
      <c r="T34" s="6" t="s">
        <v>59</v>
      </c>
      <c r="U34" s="6" t="s">
        <v>59</v>
      </c>
      <c r="V34" s="6" t="s">
        <v>59</v>
      </c>
      <c r="W34" s="6" t="s">
        <v>59</v>
      </c>
    </row>
    <row r="35" customFormat="false" ht="26.25" hidden="false" customHeight="true" outlineLevel="0" collapsed="false">
      <c r="A35" s="4" t="s">
        <v>24</v>
      </c>
      <c r="B35" s="4" t="s">
        <v>24</v>
      </c>
      <c r="E35" s="5" t="s">
        <v>205</v>
      </c>
      <c r="F35" s="6" t="n">
        <v>0.9879</v>
      </c>
      <c r="G35" s="6" t="s">
        <v>206</v>
      </c>
      <c r="H35" s="6" t="s">
        <v>207</v>
      </c>
      <c r="I35" s="6" t="s">
        <v>206</v>
      </c>
      <c r="J35" s="6" t="n">
        <v>0.9776</v>
      </c>
      <c r="K35" s="8" t="n">
        <f aca="false">J35&gt;0.95</f>
        <v>1</v>
      </c>
      <c r="L35" s="8" t="n">
        <f aca="false">J35&gt;0.9</f>
        <v>1</v>
      </c>
      <c r="M35" s="6" t="s">
        <v>59</v>
      </c>
      <c r="N35" s="6" t="s">
        <v>59</v>
      </c>
      <c r="O35" s="6" t="n">
        <v>0.9371</v>
      </c>
      <c r="P35" s="6" t="n">
        <v>0.9371</v>
      </c>
      <c r="Q35" s="6" t="s">
        <v>208</v>
      </c>
      <c r="R35" s="6" t="n">
        <v>0.8988</v>
      </c>
      <c r="S35" s="6" t="n">
        <v>0.8429</v>
      </c>
      <c r="T35" s="6" t="s">
        <v>59</v>
      </c>
      <c r="U35" s="6" t="s">
        <v>59</v>
      </c>
      <c r="V35" s="6" t="s">
        <v>59</v>
      </c>
      <c r="W35" s="6" t="s">
        <v>59</v>
      </c>
    </row>
    <row r="36" customFormat="false" ht="26.25" hidden="false" customHeight="true" outlineLevel="0" collapsed="false">
      <c r="A36" s="4" t="s">
        <v>24</v>
      </c>
      <c r="B36" s="4" t="s">
        <v>24</v>
      </c>
      <c r="C36" s="2" t="s">
        <v>209</v>
      </c>
      <c r="D36" s="2" t="s">
        <v>210</v>
      </c>
      <c r="E36" s="5" t="s">
        <v>211</v>
      </c>
      <c r="F36" s="6" t="n">
        <v>0.9993</v>
      </c>
      <c r="G36" s="6" t="s">
        <v>212</v>
      </c>
      <c r="H36" s="6" t="s">
        <v>213</v>
      </c>
      <c r="I36" s="6" t="s">
        <v>212</v>
      </c>
      <c r="J36" s="6" t="n">
        <v>0.9925</v>
      </c>
      <c r="K36" s="8" t="n">
        <f aca="false">J36&gt;0.95</f>
        <v>1</v>
      </c>
      <c r="L36" s="8" t="n">
        <f aca="false">J36&gt;0.9</f>
        <v>1</v>
      </c>
      <c r="M36" s="6" t="s">
        <v>59</v>
      </c>
      <c r="N36" s="6" t="s">
        <v>59</v>
      </c>
      <c r="O36" s="6" t="n">
        <v>0.9899</v>
      </c>
      <c r="P36" s="6" t="n">
        <v>0.9899</v>
      </c>
      <c r="Q36" s="6" t="s">
        <v>214</v>
      </c>
      <c r="R36" s="6" t="n">
        <v>0.9683</v>
      </c>
      <c r="S36" s="6" t="n">
        <v>0.9592</v>
      </c>
      <c r="T36" s="6" t="s">
        <v>59</v>
      </c>
      <c r="U36" s="6" t="s">
        <v>59</v>
      </c>
      <c r="V36" s="6" t="s">
        <v>215</v>
      </c>
      <c r="W36" s="6" t="n">
        <v>0.9726</v>
      </c>
    </row>
    <row r="37" customFormat="false" ht="26.25" hidden="false" customHeight="true" outlineLevel="0" collapsed="false">
      <c r="A37" s="11" t="s">
        <v>216</v>
      </c>
      <c r="B37" s="4" t="s">
        <v>24</v>
      </c>
      <c r="E37" s="5" t="s">
        <v>217</v>
      </c>
      <c r="F37" s="6" t="n">
        <v>0.9966</v>
      </c>
      <c r="G37" s="6" t="s">
        <v>218</v>
      </c>
      <c r="H37" s="6" t="s">
        <v>127</v>
      </c>
      <c r="I37" s="6" t="s">
        <v>218</v>
      </c>
      <c r="J37" s="6" t="n">
        <v>0.9547</v>
      </c>
      <c r="K37" s="8" t="n">
        <f aca="false">J37&gt;0.95</f>
        <v>1</v>
      </c>
      <c r="L37" s="8" t="n">
        <f aca="false">J37&gt;0.9</f>
        <v>1</v>
      </c>
      <c r="M37" s="6" t="s">
        <v>59</v>
      </c>
      <c r="N37" s="6" t="s">
        <v>59</v>
      </c>
      <c r="O37" s="6" t="n">
        <v>0.8955</v>
      </c>
      <c r="P37" s="6" t="n">
        <v>0.8955</v>
      </c>
      <c r="Q37" s="6" t="s">
        <v>219</v>
      </c>
      <c r="R37" s="6" t="n">
        <v>0.7322</v>
      </c>
      <c r="S37" s="6" t="n">
        <v>0.6569</v>
      </c>
      <c r="T37" s="6" t="s">
        <v>59</v>
      </c>
      <c r="U37" s="6" t="s">
        <v>59</v>
      </c>
      <c r="V37" s="6" t="s">
        <v>220</v>
      </c>
      <c r="W37" s="6" t="n">
        <v>0.9467</v>
      </c>
    </row>
    <row r="38" customFormat="false" ht="26.25" hidden="false" customHeight="true" outlineLevel="0" collapsed="false">
      <c r="A38" s="4" t="s">
        <v>24</v>
      </c>
      <c r="B38" s="4" t="s">
        <v>24</v>
      </c>
      <c r="E38" s="5" t="s">
        <v>221</v>
      </c>
      <c r="F38" s="6" t="n">
        <v>0.954</v>
      </c>
      <c r="G38" s="6" t="s">
        <v>222</v>
      </c>
      <c r="H38" s="6" t="s">
        <v>222</v>
      </c>
      <c r="I38" s="6" t="s">
        <v>222</v>
      </c>
      <c r="J38" s="6" t="n">
        <v>0.8206</v>
      </c>
      <c r="K38" s="8" t="n">
        <f aca="false">J38&gt;0.95</f>
        <v>0</v>
      </c>
      <c r="L38" s="8" t="n">
        <f aca="false">J38&gt;0.9</f>
        <v>0</v>
      </c>
      <c r="M38" s="6" t="s">
        <v>59</v>
      </c>
      <c r="N38" s="6" t="s">
        <v>59</v>
      </c>
      <c r="O38" s="6" t="n">
        <v>0.6915</v>
      </c>
      <c r="P38" s="6" t="n">
        <v>0.6915</v>
      </c>
      <c r="Q38" s="6" t="s">
        <v>223</v>
      </c>
      <c r="R38" s="6" t="n">
        <v>0.8141</v>
      </c>
      <c r="S38" s="6" t="n">
        <v>0.8141</v>
      </c>
      <c r="T38" s="6" t="s">
        <v>59</v>
      </c>
      <c r="U38" s="6" t="s">
        <v>59</v>
      </c>
      <c r="V38" s="6" t="s">
        <v>59</v>
      </c>
      <c r="W38" s="6" t="s">
        <v>59</v>
      </c>
    </row>
    <row r="39" customFormat="false" ht="26.25" hidden="false" customHeight="true" outlineLevel="0" collapsed="false">
      <c r="A39" s="11" t="s">
        <v>216</v>
      </c>
      <c r="B39" s="4" t="s">
        <v>24</v>
      </c>
      <c r="E39" s="5" t="s">
        <v>224</v>
      </c>
      <c r="F39" s="6" t="n">
        <v>0.9991</v>
      </c>
      <c r="G39" s="6" t="s">
        <v>225</v>
      </c>
      <c r="H39" s="6" t="s">
        <v>225</v>
      </c>
      <c r="I39" s="6" t="s">
        <v>225</v>
      </c>
      <c r="J39" s="6" t="n">
        <v>0.9998</v>
      </c>
      <c r="K39" s="8" t="n">
        <f aca="false">J39&gt;0.95</f>
        <v>1</v>
      </c>
      <c r="L39" s="8" t="n">
        <f aca="false">J39&gt;0.9</f>
        <v>1</v>
      </c>
      <c r="M39" s="6" t="s">
        <v>59</v>
      </c>
      <c r="N39" s="6" t="s">
        <v>59</v>
      </c>
      <c r="O39" s="6" t="n">
        <v>0.9977</v>
      </c>
      <c r="P39" s="6" t="n">
        <v>0.9977</v>
      </c>
      <c r="Q39" s="6" t="s">
        <v>226</v>
      </c>
      <c r="R39" s="6" t="n">
        <v>0.9676</v>
      </c>
      <c r="S39" s="6" t="n">
        <v>0.9676</v>
      </c>
      <c r="T39" s="6" t="s">
        <v>59</v>
      </c>
      <c r="U39" s="6" t="s">
        <v>59</v>
      </c>
      <c r="V39" s="6" t="s">
        <v>227</v>
      </c>
      <c r="W39" s="6" t="n">
        <v>0.9323</v>
      </c>
    </row>
    <row r="40" customFormat="false" ht="26.25" hidden="false" customHeight="true" outlineLevel="0" collapsed="false">
      <c r="A40" s="4" t="s">
        <v>24</v>
      </c>
      <c r="B40" s="4" t="s">
        <v>24</v>
      </c>
      <c r="C40" s="2" t="s">
        <v>55</v>
      </c>
      <c r="D40" s="10" t="s">
        <v>56</v>
      </c>
      <c r="E40" s="5" t="s">
        <v>228</v>
      </c>
      <c r="F40" s="6" t="n">
        <v>0.9753</v>
      </c>
      <c r="G40" s="6" t="s">
        <v>229</v>
      </c>
      <c r="H40" s="6" t="s">
        <v>229</v>
      </c>
      <c r="I40" s="6" t="s">
        <v>229</v>
      </c>
      <c r="J40" s="6" t="n">
        <v>0.7177</v>
      </c>
      <c r="K40" s="8" t="n">
        <f aca="false">J40&gt;0.95</f>
        <v>0</v>
      </c>
      <c r="L40" s="8" t="n">
        <f aca="false">J40&gt;0.9</f>
        <v>0</v>
      </c>
      <c r="M40" s="6" t="s">
        <v>59</v>
      </c>
      <c r="N40" s="6" t="s">
        <v>59</v>
      </c>
      <c r="O40" s="6" t="n">
        <v>0.7405</v>
      </c>
      <c r="P40" s="6" t="n">
        <v>0.7405</v>
      </c>
      <c r="Q40" s="6" t="s">
        <v>230</v>
      </c>
      <c r="R40" s="6" t="n">
        <v>0.7348</v>
      </c>
      <c r="S40" s="6" t="n">
        <v>0.7348</v>
      </c>
      <c r="T40" s="6" t="s">
        <v>59</v>
      </c>
      <c r="U40" s="6" t="s">
        <v>59</v>
      </c>
      <c r="V40" s="6" t="s">
        <v>59</v>
      </c>
      <c r="W40" s="6" t="s">
        <v>59</v>
      </c>
    </row>
    <row r="41" customFormat="false" ht="26.25" hidden="false" customHeight="true" outlineLevel="0" collapsed="false">
      <c r="A41" s="11" t="s">
        <v>216</v>
      </c>
      <c r="B41" s="1" t="s">
        <v>34</v>
      </c>
      <c r="C41" s="2" t="s">
        <v>231</v>
      </c>
      <c r="D41" s="2" t="s">
        <v>36</v>
      </c>
      <c r="E41" s="5" t="s">
        <v>232</v>
      </c>
      <c r="F41" s="6" t="n">
        <v>0.9964</v>
      </c>
      <c r="G41" s="6" t="s">
        <v>233</v>
      </c>
      <c r="H41" s="6" t="s">
        <v>234</v>
      </c>
      <c r="I41" s="6" t="s">
        <v>233</v>
      </c>
      <c r="J41" s="6" t="n">
        <v>0.8572</v>
      </c>
      <c r="K41" s="8" t="n">
        <f aca="false">J41&gt;0.95</f>
        <v>0</v>
      </c>
      <c r="L41" s="8" t="n">
        <f aca="false">J41&gt;0.9</f>
        <v>0</v>
      </c>
      <c r="M41" s="6" t="s">
        <v>235</v>
      </c>
      <c r="N41" s="6" t="n">
        <v>0.9107</v>
      </c>
      <c r="O41" s="6" t="n">
        <v>0.8578</v>
      </c>
      <c r="P41" s="6" t="n">
        <v>0.8578</v>
      </c>
      <c r="Q41" s="6" t="s">
        <v>236</v>
      </c>
      <c r="R41" s="6" t="n">
        <v>0.5672</v>
      </c>
      <c r="S41" s="6" t="n">
        <v>0.2703</v>
      </c>
      <c r="T41" s="6" t="s">
        <v>59</v>
      </c>
      <c r="U41" s="6" t="s">
        <v>59</v>
      </c>
      <c r="V41" s="6" t="s">
        <v>237</v>
      </c>
      <c r="W41" s="6" t="n">
        <v>0.9815</v>
      </c>
    </row>
    <row r="42" customFormat="false" ht="26.25" hidden="false" customHeight="true" outlineLevel="0" collapsed="false">
      <c r="A42" s="4" t="s">
        <v>24</v>
      </c>
      <c r="B42" s="4" t="s">
        <v>24</v>
      </c>
      <c r="E42" s="5" t="s">
        <v>238</v>
      </c>
      <c r="F42" s="6" t="n">
        <v>0.9981</v>
      </c>
      <c r="G42" s="6" t="s">
        <v>239</v>
      </c>
      <c r="H42" s="6" t="s">
        <v>240</v>
      </c>
      <c r="I42" s="6" t="s">
        <v>239</v>
      </c>
      <c r="J42" s="6" t="n">
        <v>0.9658</v>
      </c>
      <c r="K42" s="8" t="n">
        <f aca="false">J42&gt;0.95</f>
        <v>1</v>
      </c>
      <c r="L42" s="8" t="n">
        <f aca="false">J42&gt;0.9</f>
        <v>1</v>
      </c>
      <c r="M42" s="6" t="s">
        <v>59</v>
      </c>
      <c r="N42" s="6" t="s">
        <v>59</v>
      </c>
      <c r="O42" s="6" t="n">
        <v>0.9406</v>
      </c>
      <c r="P42" s="6" t="n">
        <v>0.9406</v>
      </c>
      <c r="Q42" s="6" t="s">
        <v>241</v>
      </c>
      <c r="R42" s="6" t="n">
        <v>0.587</v>
      </c>
      <c r="S42" s="6" t="n">
        <v>0.275</v>
      </c>
      <c r="T42" s="6" t="s">
        <v>59</v>
      </c>
      <c r="U42" s="6" t="s">
        <v>59</v>
      </c>
      <c r="V42" s="6" t="s">
        <v>59</v>
      </c>
      <c r="W42" s="6" t="s">
        <v>59</v>
      </c>
    </row>
    <row r="43" customFormat="false" ht="26.25" hidden="false" customHeight="true" outlineLevel="0" collapsed="false">
      <c r="A43" s="4" t="s">
        <v>24</v>
      </c>
      <c r="B43" s="4" t="s">
        <v>24</v>
      </c>
      <c r="E43" s="5" t="s">
        <v>242</v>
      </c>
      <c r="F43" s="6" t="n">
        <v>0.9942</v>
      </c>
      <c r="G43" s="6" t="s">
        <v>243</v>
      </c>
      <c r="H43" s="6" t="s">
        <v>118</v>
      </c>
      <c r="I43" s="6" t="s">
        <v>243</v>
      </c>
      <c r="J43" s="6" t="n">
        <v>0.9999</v>
      </c>
      <c r="K43" s="8" t="n">
        <f aca="false">J43&gt;0.95</f>
        <v>1</v>
      </c>
      <c r="L43" s="8" t="n">
        <f aca="false">J43&gt;0.9</f>
        <v>1</v>
      </c>
      <c r="M43" s="6" t="s">
        <v>59</v>
      </c>
      <c r="N43" s="6" t="s">
        <v>59</v>
      </c>
      <c r="O43" s="6" t="n">
        <v>0.9946</v>
      </c>
      <c r="P43" s="6" t="n">
        <v>0.9946</v>
      </c>
      <c r="Q43" s="6" t="s">
        <v>244</v>
      </c>
      <c r="R43" s="6" t="n">
        <v>0.7196</v>
      </c>
      <c r="S43" s="6" t="n">
        <v>0.7187</v>
      </c>
      <c r="T43" s="6" t="s">
        <v>59</v>
      </c>
      <c r="U43" s="6" t="s">
        <v>59</v>
      </c>
      <c r="V43" s="6" t="s">
        <v>59</v>
      </c>
      <c r="W43" s="6" t="s">
        <v>59</v>
      </c>
    </row>
    <row r="44" customFormat="false" ht="26.25" hidden="false" customHeight="true" outlineLevel="0" collapsed="false">
      <c r="A44" s="4" t="s">
        <v>24</v>
      </c>
      <c r="B44" s="1" t="s">
        <v>34</v>
      </c>
      <c r="C44" s="2" t="s">
        <v>231</v>
      </c>
      <c r="D44" s="2" t="s">
        <v>36</v>
      </c>
      <c r="E44" s="5" t="s">
        <v>245</v>
      </c>
      <c r="F44" s="6" t="n">
        <v>0.99</v>
      </c>
      <c r="G44" s="6" t="s">
        <v>246</v>
      </c>
      <c r="H44" s="6" t="s">
        <v>247</v>
      </c>
      <c r="I44" s="6" t="s">
        <v>248</v>
      </c>
      <c r="J44" s="6" t="n">
        <v>0.984</v>
      </c>
      <c r="K44" s="8" t="n">
        <f aca="false">J44&gt;0.95</f>
        <v>1</v>
      </c>
      <c r="L44" s="8" t="n">
        <f aca="false">J44&gt;0.9</f>
        <v>1</v>
      </c>
      <c r="M44" s="6" t="s">
        <v>249</v>
      </c>
      <c r="N44" s="6" t="n">
        <v>0.9229</v>
      </c>
      <c r="O44" s="6" t="n">
        <v>0.9522</v>
      </c>
      <c r="P44" s="6" t="n">
        <v>0.9497</v>
      </c>
      <c r="Q44" s="6" t="s">
        <v>250</v>
      </c>
      <c r="R44" s="6" t="n">
        <v>0.9991</v>
      </c>
      <c r="S44" s="6" t="n">
        <v>0.954</v>
      </c>
      <c r="T44" s="6" t="s">
        <v>59</v>
      </c>
      <c r="U44" s="6" t="s">
        <v>59</v>
      </c>
      <c r="V44" s="6" t="s">
        <v>59</v>
      </c>
      <c r="W44" s="6" t="s">
        <v>59</v>
      </c>
    </row>
    <row r="45" customFormat="false" ht="26.25" hidden="false" customHeight="true" outlineLevel="0" collapsed="false">
      <c r="A45" s="4" t="s">
        <v>24</v>
      </c>
      <c r="B45" s="1" t="s">
        <v>34</v>
      </c>
      <c r="C45" s="2" t="s">
        <v>251</v>
      </c>
      <c r="D45" s="2" t="s">
        <v>36</v>
      </c>
      <c r="E45" s="5" t="s">
        <v>252</v>
      </c>
      <c r="F45" s="6" t="n">
        <v>0.9949</v>
      </c>
      <c r="G45" s="6" t="s">
        <v>247</v>
      </c>
      <c r="H45" s="6" t="s">
        <v>247</v>
      </c>
      <c r="I45" s="6" t="s">
        <v>247</v>
      </c>
      <c r="J45" s="6" t="n">
        <v>0.985</v>
      </c>
      <c r="K45" s="8" t="b">
        <f aca="false">J45&gt;0.95</f>
        <v>1</v>
      </c>
      <c r="L45" s="8" t="n">
        <f aca="false">J45&gt;0.9</f>
        <v>1</v>
      </c>
      <c r="M45" s="6" t="s">
        <v>253</v>
      </c>
      <c r="N45" s="6" t="n">
        <v>0.9047</v>
      </c>
      <c r="O45" s="6" t="n">
        <v>0.9673</v>
      </c>
      <c r="P45" s="6" t="n">
        <v>0.9673</v>
      </c>
      <c r="Q45" s="6" t="s">
        <v>250</v>
      </c>
      <c r="R45" s="6" t="n">
        <v>0.9991</v>
      </c>
      <c r="S45" s="6" t="n">
        <v>0.9991</v>
      </c>
      <c r="T45" s="6" t="s">
        <v>59</v>
      </c>
      <c r="U45" s="6" t="s">
        <v>59</v>
      </c>
      <c r="V45" s="6" t="s">
        <v>59</v>
      </c>
      <c r="W45" s="6" t="s">
        <v>59</v>
      </c>
    </row>
    <row r="47" customFormat="false" ht="15.75" hidden="false" customHeight="false" outlineLevel="0" collapsed="false">
      <c r="F47" s="12" t="n">
        <f aca="false">AVERAGE(F2:F45)</f>
        <v>0.989620454545455</v>
      </c>
      <c r="K47" s="1" t="n">
        <f aca="false">SUM(K2:K45)</f>
        <v>35</v>
      </c>
      <c r="L47" s="1" t="n">
        <f aca="false">SUM(L2:L45)</f>
        <v>39</v>
      </c>
    </row>
    <row r="48" customFormat="false" ht="15.75" hidden="false" customHeight="false" outlineLevel="0" collapsed="false">
      <c r="F48" s="1" t="n">
        <f aca="false">MEDIAN(F2:F45)</f>
        <v>0.9944</v>
      </c>
    </row>
    <row r="49" customFormat="false" ht="15.75" hidden="false" customHeight="false" outlineLevel="0" collapsed="false">
      <c r="F49" s="1" t="n">
        <f aca="false">MIN(F2:F45)</f>
        <v>0.9515</v>
      </c>
    </row>
    <row r="50" customFormat="false" ht="15.75" hidden="false" customHeight="false" outlineLevel="0" collapsed="false">
      <c r="A50" s="1" t="s">
        <v>254</v>
      </c>
    </row>
    <row r="51" customFormat="false" ht="15.75" hidden="false" customHeight="false" outlineLevel="0" collapsed="false">
      <c r="A51" s="1" t="s">
        <v>255</v>
      </c>
    </row>
    <row r="52" customFormat="false" ht="15.75" hidden="false" customHeight="false" outlineLevel="0" collapsed="false">
      <c r="A52" s="1" t="s">
        <v>256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2026-03-27T07:28:12Z</dcterms:created>
  <dc:creator>Mo Liu</dc:creator>
  <dc:description/>
  <dc:language>en-US</dc:language>
  <cp:lastModifiedBy/>
  <dcterms:modified xsi:type="dcterms:W3CDTF">2026-04-02T20:49:39Z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